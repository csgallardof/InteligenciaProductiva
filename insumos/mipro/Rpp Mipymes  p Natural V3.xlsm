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Default Extension="jpeg" ContentType="image/jpeg"/>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750" yWindow="-15" windowWidth="9810" windowHeight="7695" tabRatio="953" activeTab="7"/>
  </bookViews>
  <sheets>
    <sheet name="Mipyme Persona Natural" sheetId="8" r:id="rId1"/>
    <sheet name="1.1" sheetId="10" r:id="rId2"/>
    <sheet name="1.2" sheetId="11" r:id="rId3"/>
    <sheet name="1.3" sheetId="12" r:id="rId4"/>
    <sheet name="1.4" sheetId="13" r:id="rId5"/>
    <sheet name="1.5" sheetId="14" r:id="rId6"/>
    <sheet name="1.6" sheetId="15" r:id="rId7"/>
    <sheet name="1.7" sheetId="16" r:id="rId8"/>
    <sheet name="1.8" sheetId="34" r:id="rId9"/>
    <sheet name="1.9" sheetId="18" r:id="rId10"/>
    <sheet name="1.10" sheetId="19" r:id="rId11"/>
    <sheet name="1.11" sheetId="20" r:id="rId12"/>
    <sheet name="catalogo" sheetId="35" state="hidden" r:id="rId13"/>
  </sheets>
  <definedNames>
    <definedName name="_xlnm._FilterDatabase" localSheetId="0" hidden="1">'Mipyme Persona Natural'!#REF!</definedName>
    <definedName name="_xlnm.Print_Area" localSheetId="0">'Mipyme Persona Natural'!$B$1:$J$203</definedName>
  </definedNames>
  <calcPr calcId="124519"/>
</workbook>
</file>

<file path=xl/calcChain.xml><?xml version="1.0" encoding="utf-8"?>
<calcChain xmlns="http://schemas.openxmlformats.org/spreadsheetml/2006/main">
  <c r="I2" i="35"/>
  <c r="F131" i="8" l="1"/>
  <c r="E119"/>
  <c r="G9" i="18" l="1"/>
  <c r="G10"/>
  <c r="G11"/>
  <c r="G12"/>
  <c r="E13"/>
  <c r="F13"/>
  <c r="F23" s="1"/>
  <c r="G21"/>
  <c r="E26"/>
  <c r="E6" i="16"/>
  <c r="F7" s="1"/>
  <c r="H6"/>
  <c r="G17"/>
  <c r="G18"/>
  <c r="G19"/>
  <c r="F20"/>
  <c r="G20" s="1"/>
  <c r="D114" i="8"/>
  <c r="E115" s="1"/>
  <c r="G114"/>
  <c r="E120"/>
  <c r="E121"/>
  <c r="D122"/>
  <c r="E122" s="1"/>
  <c r="F130"/>
  <c r="F132"/>
  <c r="F133"/>
  <c r="D134"/>
  <c r="E134"/>
  <c r="D142"/>
  <c r="F134" l="1"/>
  <c r="E135" s="1"/>
  <c r="E139"/>
  <c r="E140"/>
  <c r="E141"/>
  <c r="E142"/>
  <c r="F139"/>
  <c r="E7" i="16"/>
  <c r="G7" s="1"/>
  <c r="H10" i="18"/>
  <c r="H12"/>
  <c r="E14"/>
  <c r="F14"/>
  <c r="D115" i="8"/>
  <c r="F115" s="1"/>
  <c r="F24" i="18"/>
  <c r="G13"/>
  <c r="H9" s="1"/>
  <c r="F25"/>
  <c r="F26"/>
  <c r="G130" i="8" l="1"/>
  <c r="D135"/>
  <c r="F135" s="1"/>
  <c r="H134"/>
  <c r="G132"/>
  <c r="G133"/>
  <c r="G131"/>
  <c r="H13" i="18"/>
  <c r="H11"/>
  <c r="I13"/>
  <c r="G14"/>
  <c r="G134" i="8" l="1"/>
</calcChain>
</file>

<file path=xl/comments1.xml><?xml version="1.0" encoding="utf-8"?>
<comments xmlns="http://schemas.openxmlformats.org/spreadsheetml/2006/main">
  <authors>
    <author>gsoto</author>
  </authors>
  <commentList>
    <comment ref="C128" authorId="0">
      <text>
        <r>
          <rPr>
            <b/>
            <sz val="9"/>
            <color indexed="81"/>
            <rFont val="Tahoma"/>
            <family val="2"/>
          </rPr>
          <t>gsoto:</t>
        </r>
        <r>
          <rPr>
            <sz val="9"/>
            <color indexed="81"/>
            <rFont val="Tahoma"/>
            <family val="2"/>
          </rPr>
          <t xml:space="preserve">
Para la etapa "Puesta en marcha hasta" $250.000; en el cuadro adjunto se debe llenar manualnente los casilleros en blanco, registrando en la columna "Monto de financiamiento requerido al FCR" los valores a financiarse a través del FCR, mientras que en  la columna "Monto contrapartida de la entidad de derecho privado (MIPYME)" se deberán ingresar  los valores correspondientes a la contraparte, considerando las cuentas en las que se invertirá.
El porcentaje máximo de financiamiento por el FCR es del 80% sobre el total de la inversión; mientras que la contraparte mínima requerida es del 20%</t>
        </r>
      </text>
    </comment>
  </commentList>
</comments>
</file>

<file path=xl/comments2.xml><?xml version="1.0" encoding="utf-8"?>
<comments xmlns="http://schemas.openxmlformats.org/spreadsheetml/2006/main">
  <authors>
    <author>gsoto</author>
  </authors>
  <commentList>
    <comment ref="E6" authorId="0">
      <text>
        <r>
          <rPr>
            <sz val="9"/>
            <color indexed="81"/>
            <rFont val="Tahoma"/>
            <family val="2"/>
          </rPr>
          <t>Este casillero muestra el total requerido de la inversión (monto solicitado de financiamiento a través del FCR + Monto de la Contrapartida)</t>
        </r>
        <r>
          <rPr>
            <b/>
            <sz val="9"/>
            <color indexed="81"/>
            <rFont val="Tahoma"/>
            <family val="2"/>
          </rPr>
          <t xml:space="preserve">
</t>
        </r>
      </text>
    </comment>
    <comment ref="F6" authorId="0">
      <text>
        <r>
          <rPr>
            <sz val="9"/>
            <color indexed="81"/>
            <rFont val="Tahoma"/>
            <family val="2"/>
          </rPr>
          <t>Se podrán financiar montos de hasta USD 100,000 para proyectos en la etapa de Idea-proyecto.</t>
        </r>
      </text>
    </comment>
    <comment ref="G6" authorId="0">
      <text>
        <r>
          <rPr>
            <sz val="9"/>
            <color indexed="81"/>
            <rFont val="Tahoma"/>
            <family val="2"/>
          </rPr>
          <t>El valor de la contraparte del beneficiario deberá constituir como mínimo el 20% del costo total del proyecto</t>
        </r>
      </text>
    </comment>
    <comment ref="E15" authorId="0">
      <text>
        <r>
          <rPr>
            <sz val="9"/>
            <color indexed="81"/>
            <rFont val="Tahoma"/>
            <family val="2"/>
          </rPr>
          <t xml:space="preserve">En éste cuadro se deberá registrar el desgloce del monto total de inversión de la contrapartida, considerando la naturaleza de la misma.
</t>
        </r>
      </text>
    </comment>
    <comment ref="F17" authorId="0">
      <text>
        <r>
          <rPr>
            <sz val="9"/>
            <color indexed="81"/>
            <rFont val="Tahoma"/>
            <family val="2"/>
          </rPr>
          <t xml:space="preserve">
- Al menos un cinco por ciento (5%) del costo total del proyecto o al menos el veinticinco por ciento (25%) del total de su inversión se debe contar en numerario (dinero en efectivo en denominación de dólares de los Estados Unidos de Norte América)  
</t>
        </r>
      </text>
    </comment>
    <comment ref="F20" authorId="0">
      <text>
        <r>
          <rPr>
            <sz val="9"/>
            <color indexed="81"/>
            <rFont val="Tahoma"/>
            <family val="2"/>
          </rPr>
          <t xml:space="preserve">La sumatoria obtenida en este casillero debe ser igual al monto total de la contrapartida </t>
        </r>
      </text>
    </comment>
  </commentList>
</comments>
</file>

<file path=xl/comments3.xml><?xml version="1.0" encoding="utf-8"?>
<comments xmlns="http://schemas.openxmlformats.org/spreadsheetml/2006/main">
  <authors>
    <author>gsoto</author>
  </authors>
  <commentList>
    <comment ref="E8" authorId="0">
      <text>
        <r>
          <rPr>
            <sz val="9"/>
            <color indexed="81"/>
            <rFont val="Tahoma"/>
            <family val="2"/>
          </rPr>
          <t xml:space="preserve">
Ingresar valores que serán solicitados al FCR por tipo de cuenta.</t>
        </r>
      </text>
    </comment>
    <comment ref="F8" authorId="0">
      <text>
        <r>
          <rPr>
            <sz val="9"/>
            <color indexed="81"/>
            <rFont val="Tahoma"/>
            <family val="2"/>
          </rPr>
          <t xml:space="preserve">
Ingresar los valores disponibles conmo contraparte por cuenta.</t>
        </r>
      </text>
    </comment>
    <comment ref="E13" authorId="0">
      <text>
        <r>
          <rPr>
            <sz val="9"/>
            <color indexed="81"/>
            <rFont val="Tahoma"/>
            <family val="2"/>
          </rPr>
          <t xml:space="preserve">
La sumatoria en este casillero no se puede superar los $ 250.000 monto máximo de financiamiento del FCR.</t>
        </r>
      </text>
    </comment>
    <comment ref="F13" authorId="0">
      <text>
        <r>
          <rPr>
            <sz val="9"/>
            <color indexed="81"/>
            <rFont val="Tahoma"/>
            <family val="2"/>
          </rPr>
          <t xml:space="preserve">
La sumatoria en éste casillero no puede ser inferior al 20% del total de la inversión, monto mínimo de la contraparte.</t>
        </r>
      </text>
    </comment>
    <comment ref="E23" authorId="0">
      <text>
        <r>
          <rPr>
            <sz val="9"/>
            <color indexed="81"/>
            <rFont val="Tahoma"/>
            <family val="2"/>
          </rPr>
          <t xml:space="preserve">- Al menos un cinco por ciento (5%) del costo total del proyecto o al menos el veinticinco por ciento (25%) del total de su inversión se debe contar en numerario (dinero en efectivo en denominación de dólares de los Estados Unidos de Norte América)  </t>
        </r>
      </text>
    </comment>
    <comment ref="E26" authorId="0">
      <text>
        <r>
          <rPr>
            <sz val="9"/>
            <color indexed="81"/>
            <rFont val="Tahoma"/>
            <family val="2"/>
          </rPr>
          <t>La sumatoria obtenida en este casillero debe ser igual al monto total de la contrapartida</t>
        </r>
      </text>
    </comment>
  </commentList>
</comments>
</file>

<file path=xl/sharedStrings.xml><?xml version="1.0" encoding="utf-8"?>
<sst xmlns="http://schemas.openxmlformats.org/spreadsheetml/2006/main" count="385" uniqueCount="284">
  <si>
    <t>SI</t>
  </si>
  <si>
    <t>NO</t>
  </si>
  <si>
    <t>Botones Informativos</t>
  </si>
  <si>
    <t>TÍTULO DEL PROYECTO:</t>
  </si>
  <si>
    <t>INFORMACIÓN DEL POSTULANTE</t>
  </si>
  <si>
    <t>AZUAY</t>
  </si>
  <si>
    <t>BOLIVAR</t>
  </si>
  <si>
    <t>RUC/RISE</t>
  </si>
  <si>
    <t>CAÑAR</t>
  </si>
  <si>
    <t>CARCHI</t>
  </si>
  <si>
    <t xml:space="preserve">NOMBRES </t>
  </si>
  <si>
    <t>APELLIDOS</t>
  </si>
  <si>
    <t xml:space="preserve">CHIMBORAZO </t>
  </si>
  <si>
    <t>COTOPAXI</t>
  </si>
  <si>
    <t>NACIONALIDAD</t>
  </si>
  <si>
    <t>EL ORO</t>
  </si>
  <si>
    <t>ESMERALDAS</t>
  </si>
  <si>
    <t>DISCAPACIDAD</t>
  </si>
  <si>
    <t>GALAPAGOS</t>
  </si>
  <si>
    <t>GUAYAS</t>
  </si>
  <si>
    <t>LUGAR DE RESIDENCIA Y CONTACTO</t>
  </si>
  <si>
    <t>IMBABURA</t>
  </si>
  <si>
    <t>LOJA</t>
  </si>
  <si>
    <t xml:space="preserve">PROVINCIA </t>
  </si>
  <si>
    <t>LOS RIOS</t>
  </si>
  <si>
    <t>MANABI</t>
  </si>
  <si>
    <t>CANTÓN</t>
  </si>
  <si>
    <t>MORONA SANTIAGO</t>
  </si>
  <si>
    <t>NAPO</t>
  </si>
  <si>
    <t>PARROQUIA</t>
  </si>
  <si>
    <t>ORELLANA</t>
  </si>
  <si>
    <t>PASTAZA</t>
  </si>
  <si>
    <t>DIRECCIÓN</t>
  </si>
  <si>
    <t>PICHINCHA</t>
  </si>
  <si>
    <t>SANTA ELENA</t>
  </si>
  <si>
    <t>SANTO DOMINGO</t>
  </si>
  <si>
    <t>TELÉFONO CONVENCIONAL</t>
  </si>
  <si>
    <t>TELÉFONO CELULAR</t>
  </si>
  <si>
    <t>SUCUMBIOS</t>
  </si>
  <si>
    <t>TUNGURAHUA</t>
  </si>
  <si>
    <t>CORREO ELECTRÓNICO</t>
  </si>
  <si>
    <t>CORREO ELECTRÓNICO ALTERNATIVO:</t>
  </si>
  <si>
    <t>ZAMORA CHINCHIPE</t>
  </si>
  <si>
    <t>ACTIVIDAD ECONÓMICA</t>
  </si>
  <si>
    <t>TAMAÑO DE LA EMPRESA</t>
  </si>
  <si>
    <t>MICRO EMPRESA</t>
  </si>
  <si>
    <t>PEQUEÑA EMPRESA</t>
  </si>
  <si>
    <t>¿EN LISTA DE MOROSIDAD?</t>
  </si>
  <si>
    <t>FECHA DE ÚLTIMA DECLARACIÓN</t>
  </si>
  <si>
    <t>MEDIANA EMPRESA</t>
  </si>
  <si>
    <t>ESTADO TRIBUTARIO</t>
  </si>
  <si>
    <t>OBLIGACIONES PENDIENTES CON EL IESS</t>
  </si>
  <si>
    <t>¿ESTÁ REGISTRADO COMO CONTRATISTA INCUMPLIDO O ADJUDICATARIO FALLIDO CON EL ESTADO?</t>
  </si>
  <si>
    <t>¿TIENE RUM? (Registro Único Mipymes)</t>
  </si>
  <si>
    <t>¿TIENE RUA? (Registro Único Artesanal)</t>
  </si>
  <si>
    <t>INFORMACIÓN BÁSICA DEL PROYECTO</t>
  </si>
  <si>
    <t>ETAPA DE LA INVERSIÓN</t>
  </si>
  <si>
    <t>IDEA - PROYECTO</t>
  </si>
  <si>
    <t>PUESTA EN MARCHA</t>
  </si>
  <si>
    <t>INDUSTRIA PRIORIZADA PRINCIPAL A LA QUE PERTENECE EL PROYECTO</t>
  </si>
  <si>
    <t>1) ALIMENTOS FRESCOS Y PROCESADOS</t>
  </si>
  <si>
    <t>2) BIOTECNOLOGÍA (BIOQUÍMICA Y BIOMEDICINA)</t>
  </si>
  <si>
    <t>INDUSTRIA PRIORIZADA SECUNDARIA CON LA QUE SE RELACIONA EL PROYECTO</t>
  </si>
  <si>
    <t>3) CONFECCIONES Y CALZADO</t>
  </si>
  <si>
    <t>4) ENERGÍAS RENOVABLES</t>
  </si>
  <si>
    <t>1)    ALIMENTOS FRESCOS Y PROCESADOS</t>
  </si>
  <si>
    <t>5) INDUSTRIA FARMACÉUTICA</t>
  </si>
  <si>
    <t>2)   BIOTECNOLOGÍA (BIOQUÍMICA Y BIOMEDICINA)</t>
  </si>
  <si>
    <t>6) METALMECÁNICA</t>
  </si>
  <si>
    <t>3)   CONFECCIONES Y CALZADO</t>
  </si>
  <si>
    <t>7) PETROQUÍMICA</t>
  </si>
  <si>
    <t>8) PRODUCTOS FORESTALES DE MADERA</t>
  </si>
  <si>
    <t>9) SERVICIOS AMBIENTALES</t>
  </si>
  <si>
    <t>10) TECNOLOGÍA (SOFTWARE, HARDWARE Y SERVICIOS INFORMÁTICOS)</t>
  </si>
  <si>
    <t>11) VEHÍCULOS, AUTOMOTORES, CARROCERÍAS Y PARTES</t>
  </si>
  <si>
    <t>12) CONSTRUCCIÓN</t>
  </si>
  <si>
    <t>13) TRANSPORTE Y LOGÍSTICA</t>
  </si>
  <si>
    <t>14) TURISMO</t>
  </si>
  <si>
    <t>EL RESULTADO DEL PROYECTO DE INNOVACIÓN PRODUCTIVA INTRODUCE AL MERCADO UN NUEVO…..</t>
  </si>
  <si>
    <t>BIEN</t>
  </si>
  <si>
    <t>SERVICIO</t>
  </si>
  <si>
    <t>PROCESO PRODUCTIVO</t>
  </si>
  <si>
    <t>DESCRIPCIÓN DEL PROBLEMA U OPORTUNIDAD.</t>
  </si>
  <si>
    <t>500 caracteres</t>
  </si>
  <si>
    <t>¿CÓMO EL PROYECTO INNOVADOR RESUELVE EL PROBLEMA O APROVECHA LA OPORTUNIDAD?</t>
  </si>
  <si>
    <t>DESCRIPCIÓN DEL BIEN, SERVICIO O PROCESO PRODUCTIVO.</t>
  </si>
  <si>
    <t>NUEVO PARA LA ORGANIZACIÓN</t>
  </si>
  <si>
    <t>NUEVO PARA EL SECTOR PRODUCTIVO</t>
  </si>
  <si>
    <t>NUEVO PARA EL MERCADO</t>
  </si>
  <si>
    <t>NUEVO PARA EL MUNDO</t>
  </si>
  <si>
    <t>¿CUÁL ES EL GRADO DE NOVEDAD DE LA INNOVACIÓN DE SU PROYECTO?</t>
  </si>
  <si>
    <t>LOCAL</t>
  </si>
  <si>
    <t>REGIONAL</t>
  </si>
  <si>
    <t>¿QUÉ ALCANCE TIENE LA INNOVACIÓN DE SU PROYECTO?</t>
  </si>
  <si>
    <t>NACIONAL</t>
  </si>
  <si>
    <t>INTERNACIONAL</t>
  </si>
  <si>
    <t>FACTORES O CIRCUNSTANCIAS CRÍTICAS</t>
  </si>
  <si>
    <t>200 Caracteres</t>
  </si>
  <si>
    <t>INFORMACIÓN DE LA INVERSIÓN</t>
  </si>
  <si>
    <t xml:space="preserve">IDEA PROYECTO </t>
  </si>
  <si>
    <t xml:space="preserve">Monto total requerido </t>
  </si>
  <si>
    <t>Monto máximo de financiamiento a través del FCR</t>
  </si>
  <si>
    <t>Monto mínimo de contrapartida de la entidad de derecho privado (MIPYME)</t>
  </si>
  <si>
    <t>TOTAL INVERSIÓN</t>
  </si>
  <si>
    <t>% DEL TOTAL</t>
  </si>
  <si>
    <t>DETALLE</t>
  </si>
  <si>
    <t>TOTAL</t>
  </si>
  <si>
    <t>%</t>
  </si>
  <si>
    <t>ACTIVO TANGIBLE</t>
  </si>
  <si>
    <t>ACTIVO INTANGIBLE</t>
  </si>
  <si>
    <t>Inversión (cuadro general)</t>
  </si>
  <si>
    <t>Cuenta</t>
  </si>
  <si>
    <t>Monto de financiamiento requerido al FCR</t>
  </si>
  <si>
    <t>Monto contrapartida de la entidad de derecho privado (MIPYME)</t>
  </si>
  <si>
    <t>Total</t>
  </si>
  <si>
    <t>% del Total</t>
  </si>
  <si>
    <t>Terrenos,  edificios e infraestructura</t>
  </si>
  <si>
    <t>Equipos diversos (Maquinarias, Vehículos, Herramientas, Mobiliario etc..)</t>
  </si>
  <si>
    <t>Inversión Diferida en general (puesta en marcha, licencias y patentes, asistencia y asesoría, contingencias otros gastos)</t>
  </si>
  <si>
    <t>Capital de trabajo</t>
  </si>
  <si>
    <t>Total inversiones</t>
  </si>
  <si>
    <t>SELECCIONE EN LA LISTA, LOS IMPACTOS INTERNOS QUE  COMO RESULTADO DEL PROYECTO SE VERÁN AFECTADOS FAVORABLEMENTE; (SE PODRÁ ESCOGER MÁS DE UNA OPCIÓN Y ES INDISPENSABLE QUE AL MENOS SE SELECCIONE UNA OPCIÓN):</t>
  </si>
  <si>
    <t>PRODUCCIÓN/VENTAS</t>
  </si>
  <si>
    <t>PRECIO</t>
  </si>
  <si>
    <t>MEJORA EN LA CALIDAD</t>
  </si>
  <si>
    <t>PRODUCTIVIDAD</t>
  </si>
  <si>
    <t>COSTOS DE PRODUCCIÓN</t>
  </si>
  <si>
    <t>TRANSFERENCIA DE TECNOLOGÍA</t>
  </si>
  <si>
    <t>SELECCIONE EN LA LISTA, LOS IMPACTOS ECONÓMICOS QUE  COMO RESULTADO DEL PROYECTO SE VERÁN AFECTADOS FAVORABLEMENTE; (SE PODRÁ ESCOGER MÁS DE UNA OPCIÓN Y ES INDISPENSABLE QUE AL MENOS SE SELECCIONE UNA OPCIÓN):</t>
  </si>
  <si>
    <t>GENERACIÓN DE EMPLEO</t>
  </si>
  <si>
    <t>ENCADENAMIENTO PRODUCTIVO</t>
  </si>
  <si>
    <t>VALOR AGREGADO (PROCESO PRODUCTIVO DE MATERIAS PRIMAS)</t>
  </si>
  <si>
    <t>SUSTITUCIÓN DE IMPORTACIONES</t>
  </si>
  <si>
    <t>INVERSIÓN EXTRANJERA DIRECTA (IED)</t>
  </si>
  <si>
    <t>EXPORTACIONES</t>
  </si>
  <si>
    <t>COMPETITIVIDAD</t>
  </si>
  <si>
    <t>DESARROLLO LOCAL</t>
  </si>
  <si>
    <t>GENERACIÓN DE IMPUESTOS</t>
  </si>
  <si>
    <t>ENLACE WEB DEL PROYECTO</t>
  </si>
  <si>
    <t>ENLACE FACEBOOK DEL PROYECTO</t>
  </si>
  <si>
    <t>VIDEO PITCH</t>
  </si>
  <si>
    <t>¿HA RECIBIDO OTROS BENEFICIOS DE APOYO A PROYECTOS POR PARTE ENTIDADES PÚBLICAS Y/O PRIVADAS?</t>
  </si>
  <si>
    <t>Programa</t>
  </si>
  <si>
    <t>Institución a cargo del programa</t>
  </si>
  <si>
    <t>Tipo de beneficio (monetario, asistencia técnica, etc)</t>
  </si>
  <si>
    <t>Descripción del beneficio (monto, tipo de ayuda, etc)</t>
  </si>
  <si>
    <t>Fecha de participación</t>
  </si>
  <si>
    <t>Fecha entrega del beneficio</t>
  </si>
  <si>
    <t>Resultado del proyecto (Qué resultados se obtuvieron del beneficio recibido resultados económicos, productivos, de mercados Etc.</t>
  </si>
  <si>
    <t>Fecha de inicio (dd/mm/aaaa)</t>
  </si>
  <si>
    <t>Fecha de fin (dd/mm/aaaa)</t>
  </si>
  <si>
    <t>¿EXISTE VINCULACIÓN CON OTRAS EMPRESAS?</t>
  </si>
  <si>
    <t>RELACIONES DE PROPIEDAD</t>
  </si>
  <si>
    <t>Razón Social</t>
  </si>
  <si>
    <t xml:space="preserve"> RUC</t>
  </si>
  <si>
    <t>Vinculación (accionaria, representación legal, etc)</t>
  </si>
  <si>
    <t>% de participación (en caso de aplicar)</t>
  </si>
  <si>
    <t>SU PROYECTO SE ENCUENTRA LISTO PARA LA EVALUACIÓN TÉCNICA - ECONÓMICA?</t>
  </si>
  <si>
    <t>CORREO ELECRÓNICO</t>
  </si>
  <si>
    <t>EJEMPLO:</t>
  </si>
  <si>
    <t>1234567890</t>
  </si>
  <si>
    <t>LUIS ALEJANDRO</t>
  </si>
  <si>
    <t>MOSQUERA CRUZ</t>
  </si>
  <si>
    <t>ECUATORIANO</t>
  </si>
  <si>
    <t>LATACUNGA</t>
  </si>
  <si>
    <t>LA MATRIZ</t>
  </si>
  <si>
    <t>DAFO34W@YAHOO.ES</t>
  </si>
  <si>
    <t>123ALFA3@GMAIL.COM</t>
  </si>
  <si>
    <t>Valor de ventas o ingresos brutos anuales entre un millón uno (USD 1´000.001,00) y cinco millones (USD 5´000.000,00) de dólares de los Estados Unidos de América.</t>
  </si>
  <si>
    <t>50 a 199 trabajadores</t>
  </si>
  <si>
    <t>Mediana Empresa</t>
  </si>
  <si>
    <t>10 a 49 trabajadores</t>
  </si>
  <si>
    <t>Pequeña Empresa</t>
  </si>
  <si>
    <t>1 a 9 trabajadores</t>
  </si>
  <si>
    <t>Micro Empresa</t>
  </si>
  <si>
    <t>Monto</t>
  </si>
  <si>
    <t>No. De trabajadores</t>
  </si>
  <si>
    <t>Clasificación</t>
  </si>
  <si>
    <t>Indicar los principales factores y hechos que podrían poner en peligro la posibilidad de éxito en el logro de los objetivos del proyecto.</t>
  </si>
  <si>
    <t>Breve descripción del concepto básico de las características y funcionalidades del producto (bien, servicio) o proceso innovador resultado del proyecto.</t>
  </si>
  <si>
    <t>Describir  la solución y los cambios que el proyecto innovador brinda en beneficio de resolver el problema o aprovechar la oportunidad.</t>
  </si>
  <si>
    <t>Delimitar el alcance que tiene el problema u oportunidad en el tiempo y espacio, esto es si afecta o se circunscribe a un territorio  y la temporalidad del mismo.</t>
  </si>
  <si>
    <t>Describir el problema u oportunidad que se pretende resolver o aprovechar a través del proyecto.</t>
  </si>
  <si>
    <t>DESCRIPCIÓN:</t>
  </si>
  <si>
    <t xml:space="preserve">No serán considerados como gastos aceptables los siguientes:
a) Gastos generales y de administración de los beneficiarios (no inherentes a la ejecución del proyecto).
b) Cancelación de deudas, pago de dividendos o recuperaciones de capital.
c) Transferencias de activos: adquisición de acciones, participaciones en el capital social, otros valores mobiliarios, etc.
d) Pago de cesantías.
e) Inversiones en capital de trabajo y bienes de uso, con excepción de las que sean calificadas por el operador como imprescindibles para la ejecución del proyecto.
f) Compras o alquiler de inmuebles.
g) Contribuciones en especie.
h) Retiros de socios y pagos de honorarios por asamblea.
i) Retiro de socios, sueldos, vacaciones y décimos, dividendos.
j) Gastos correspondientes al pago del IVA.
k) Todo otro gasto o inversión innecesarios, calificados como tales por el operador, para el logro de los resultados previos en el proyecto.
Los emprendimientos innovadores deberán reflejar, dentro de su contabilidad, el destino de los recursos invertidos por el Fideicomiso
</t>
  </si>
  <si>
    <t xml:space="preserve">Los recursos económicos asignados a los emprendimientos innovadores podrán financiar los gastos relacionados estrictamente con la ejecución del proyecto, los cuales se listan a continuación:
a) Personal de dirección, investigación y de apoyo técnico para la ejecución del proyecto. En todos los casos, el personal debe acreditar competencia para la realización del proyecto.
b) Equipamiento imprescindible requerido, calificado por el operador, para la ejecución del proyecto (bienes de capital). 
c) Capacitación y reentrenamiento de recursos humano relacionados con las actividades del proyecto.
d) Adquisición de licencias de tecnología necesarias como parte del desarrollo tecnológico a realizar.
e) Alquiler de maquinaria específica.
f) Insumos y/o materiales necesarios para la ejecución del proyecto: 
a.  Adquisición de bienes, incluso bienes nacionales, usados o importados.
b. Adquisición de bienes importados.
g) Construcción de instalaciones específicas o remodelaciones necesarias para la ejecución del proyecto.
h) Diseño de web, packaing y manuales.
i) Otros gastos relacionados con la ejecución del proyecto considerados como necesarios en el dictamen técnico – económico.
La programación e imputación de gastos generados por las actividades de financiamiento solicitadas se realizará sobre la base de los costos reales y demostrables.  Los gastos presupuestados, no deberán incluir IVA.
</t>
  </si>
  <si>
    <t>GASTOS NO ELEGIBLES</t>
  </si>
  <si>
    <t>GASTOS  ELEGIBLES</t>
  </si>
  <si>
    <t>INSTRUCCIONES PARA EL ENVIO</t>
  </si>
  <si>
    <t>El video no deberá exceder de 10MB y deberá estar grabado en formato MP4.</t>
  </si>
  <si>
    <t>FORMATO Y TAMAÑO</t>
  </si>
  <si>
    <t>CONTENIDO</t>
  </si>
  <si>
    <t>INSTRUCCIONES</t>
  </si>
  <si>
    <t>En caso de responder "No", su proyecto tendrá la posibilidad de entrar en proceso de acompañamiento con el Operador para fortalecer el Plan de Negocios previo a la evaluación técnica - económica.</t>
  </si>
  <si>
    <t xml:space="preserve">En caso de responder "SI", su proyecto tendrá la posibilidad de pasar directamente a ser evaluado por el Operador, de lo cual se determinará la factibilidad de inversión. (Tiempo duración del proceso 2 meses). </t>
  </si>
  <si>
    <r>
      <rPr>
        <b/>
        <sz val="11"/>
        <color theme="1"/>
        <rFont val="Calibri"/>
        <family val="2"/>
        <scheme val="minor"/>
      </rPr>
      <t xml:space="preserve"> - Idea – proyecto:</t>
    </r>
    <r>
      <rPr>
        <sz val="11"/>
        <color theme="1"/>
        <rFont val="Calibri"/>
        <family val="2"/>
        <scheme val="minor"/>
      </rPr>
      <t xml:space="preserve"> Se refiere a los proyectos formulados para el desarrollo de un proceso innovador, de un prototipo y/o  producto mínimo viable de un bien o servicio resultado de la propuesta, así como también para la elaboración del correspondiente plan de negocios. 
</t>
    </r>
    <r>
      <rPr>
        <b/>
        <sz val="11"/>
        <color theme="1"/>
        <rFont val="Calibri"/>
        <family val="2"/>
        <scheme val="minor"/>
      </rPr>
      <t xml:space="preserve">
- Puesta en marcha:</t>
    </r>
    <r>
      <rPr>
        <sz val="11"/>
        <color theme="1"/>
        <rFont val="Calibri"/>
        <family val="2"/>
        <scheme val="minor"/>
      </rPr>
      <t xml:space="preserve"> Se refiere a los proyectos formulados para iniciar con la fase de producción, distribución y/o comercialización del bien o servicio, así como para la implementación de uno o más procesos innovadores. El objetivo de estas inversiones es el de generar el impulso para iniciar el ciclo productivo.</t>
    </r>
  </si>
  <si>
    <r>
      <rPr>
        <b/>
        <sz val="11"/>
        <color theme="1"/>
        <rFont val="Calibri"/>
        <family val="2"/>
        <scheme val="minor"/>
      </rPr>
      <t>Nuevo para la organización.-</t>
    </r>
    <r>
      <rPr>
        <sz val="11"/>
        <color theme="1"/>
        <rFont val="Calibri"/>
        <family val="2"/>
        <scheme val="minor"/>
      </rPr>
      <t xml:space="preserve"> Únicamente dentro dela organización.
</t>
    </r>
    <r>
      <rPr>
        <b/>
        <sz val="11"/>
        <color theme="1"/>
        <rFont val="Calibri"/>
        <family val="2"/>
        <scheme val="minor"/>
      </rPr>
      <t>Nuevo para el sector productivo.</t>
    </r>
    <r>
      <rPr>
        <sz val="11"/>
        <color theme="1"/>
        <rFont val="Calibri"/>
        <family val="2"/>
        <scheme val="minor"/>
      </rPr>
      <t xml:space="preserve">- Si la innovación es nueva para el sector en el cual se desarrolla el proyecto (sectores priorizados)
</t>
    </r>
    <r>
      <rPr>
        <b/>
        <sz val="11"/>
        <color theme="1"/>
        <rFont val="Calibri"/>
        <family val="2"/>
        <scheme val="minor"/>
      </rPr>
      <t>Nuevo para el mercado.-</t>
    </r>
    <r>
      <rPr>
        <sz val="11"/>
        <color theme="1"/>
        <rFont val="Calibri"/>
        <family val="2"/>
        <scheme val="minor"/>
      </rPr>
      <t xml:space="preserve"> Si la innovación no se encuentra en el mercado actual.
</t>
    </r>
    <r>
      <rPr>
        <b/>
        <sz val="11"/>
        <color theme="1"/>
        <rFont val="Calibri"/>
        <family val="2"/>
        <scheme val="minor"/>
      </rPr>
      <t>Nuevo para el mundo.-</t>
    </r>
    <r>
      <rPr>
        <sz val="11"/>
        <color theme="1"/>
        <rFont val="Calibri"/>
        <family val="2"/>
        <scheme val="minor"/>
      </rPr>
      <t xml:space="preserve"> Si esa innovación no existe en el mundo.</t>
    </r>
  </si>
  <si>
    <t>Regresar</t>
  </si>
  <si>
    <t>2.- Selecciona el videopitch dentro de los archivos de tu computador:</t>
  </si>
  <si>
    <t>1.-  Despues de haber grabado el videopitch, abrir la página web: "www.wetransfer.com" y da click en:</t>
  </si>
  <si>
    <r>
      <t xml:space="preserve">3.- Ingresa el correo electrónico </t>
    </r>
    <r>
      <rPr>
        <sz val="11"/>
        <color theme="3" tint="0.39997558519241921"/>
        <rFont val="Calibri"/>
        <family val="2"/>
        <scheme val="minor"/>
      </rPr>
      <t>fondodecapitalderiesgo@mipro.gob.ec</t>
    </r>
  </si>
  <si>
    <t>4.- ingresa tu correo electrónico:</t>
  </si>
  <si>
    <t>5.- En el mensaje escribe tu nombre completo y el RUC o RISE</t>
  </si>
  <si>
    <t>6.- Envía el correo</t>
  </si>
  <si>
    <t>7.- Una vez que hayas enviado el videopitch, abre tu correo electrónico y busca la notificación de envío de wetransfer en tu buzón de entrada, copia el enlace de descarga</t>
  </si>
  <si>
    <t>8.- pega el enlace de descarga en este formulario</t>
  </si>
  <si>
    <r>
      <rPr>
        <b/>
        <sz val="11"/>
        <color indexed="8"/>
        <rFont val="Calibri"/>
        <family val="2"/>
      </rPr>
      <t>Si usted respondió "SI"</t>
    </r>
    <r>
      <rPr>
        <sz val="11"/>
        <color theme="1"/>
        <rFont val="Calibri"/>
        <family val="2"/>
        <scheme val="minor"/>
      </rPr>
      <t xml:space="preserve"> descargue el formato de Plan de Negocios que se encuentra en el micrositio "</t>
    </r>
    <r>
      <rPr>
        <sz val="11"/>
        <color indexed="10"/>
        <rFont val="Calibri"/>
        <family val="2"/>
      </rPr>
      <t>fondodecapitalderiesgo.industrias.gob.ec</t>
    </r>
    <r>
      <rPr>
        <sz val="11"/>
        <color theme="1"/>
        <rFont val="Calibri"/>
        <family val="2"/>
        <scheme val="minor"/>
      </rPr>
      <t>"; botón "</t>
    </r>
    <r>
      <rPr>
        <sz val="11"/>
        <color indexed="10"/>
        <rFont val="Calibri"/>
        <family val="2"/>
      </rPr>
      <t>Regístrate</t>
    </r>
    <r>
      <rPr>
        <sz val="11"/>
        <color theme="1"/>
        <rFont val="Calibri"/>
        <family val="2"/>
        <scheme val="minor"/>
      </rPr>
      <t xml:space="preserve">"  y llénalo; envíalo conjuntamente con este formulario debidamente lleno mas el video pitch siguiendo las instrucciones para su envío al correo: </t>
    </r>
    <r>
      <rPr>
        <u/>
        <sz val="11"/>
        <color indexed="30"/>
        <rFont val="Calibri"/>
        <family val="2"/>
      </rPr>
      <t>fondodecapitalderiesgo@mipro.gob.ec</t>
    </r>
    <r>
      <rPr>
        <sz val="11"/>
        <color theme="1"/>
        <rFont val="Calibri"/>
        <family val="2"/>
        <scheme val="minor"/>
      </rPr>
      <t xml:space="preserve">
</t>
    </r>
    <r>
      <rPr>
        <b/>
        <sz val="11"/>
        <color indexed="8"/>
        <rFont val="Calibri"/>
        <family val="2"/>
      </rPr>
      <t>Si usted respondió "NO"</t>
    </r>
    <r>
      <rPr>
        <sz val="11"/>
        <color theme="1"/>
        <rFont val="Calibri"/>
        <family val="2"/>
        <scheme val="minor"/>
      </rPr>
      <t xml:space="preserve"> únicamente envíe este formulario debidamente lleno conjuntamente con el video pitch siguiendo las instrucciones para su envío al correo:  </t>
    </r>
    <r>
      <rPr>
        <u/>
        <sz val="11"/>
        <color indexed="30"/>
        <rFont val="Calibri"/>
        <family val="2"/>
      </rPr>
      <t>fondodecapitalderiesgo@mipro.gob.ec</t>
    </r>
  </si>
  <si>
    <t>¿SE ENCUENTRA AL DÍA CON LAS OBLIGACIONES EN LA SUPERINTENDENCIA DE COMPAÑIAS, VALORES Y SEGUROS?</t>
  </si>
  <si>
    <t>¿QUÉ TAN GRANDE ES EL PROBLEMA U OPORTUNIDAD?</t>
  </si>
  <si>
    <r>
      <rPr>
        <b/>
        <sz val="11"/>
        <color theme="1"/>
        <rFont val="Calibri"/>
        <family val="2"/>
        <scheme val="minor"/>
      </rPr>
      <t>Vinculación con Empresas.-</t>
    </r>
    <r>
      <rPr>
        <sz val="11"/>
        <color theme="1"/>
        <rFont val="Calibri"/>
        <family val="2"/>
        <scheme val="minor"/>
      </rPr>
      <t xml:space="preserve">  Es la participación que tiene una persona natural o jurídica sobre los derechos del capital de una empresa.
Léase: Bases del Programa Mipymes. 3.1 Criterios de Evaluación.</t>
    </r>
  </si>
  <si>
    <t>INFORMACIÓN DEL ESTADO DEL POSTULANTE</t>
  </si>
  <si>
    <t>CALLE GUAYAQUIL Y PADRE SALCEDO 34-56, FRENTE AL COLEGIO DE ABOGADOS DE COTOPAXI</t>
  </si>
  <si>
    <t>Valor de ventas o ingresos brutos anuales iguales o menores de trescientos mil (USD 300.000,00) dólares de los Estados Unidos de América.</t>
  </si>
  <si>
    <t>Valor de ventas o ingresos brutos anuales entre trescientos mil uno (USD 300.001,00) y un millón (USD 1´000.000,00) de dólares de los Estados Unidos de América.</t>
  </si>
  <si>
    <t>Anotar la misma actividad económica principal del RUC o RISE.</t>
  </si>
  <si>
    <t xml:space="preserve">Se debe seleccionar el tamaño de la empresa  de acuerdo al Registro único de Mipymes </t>
  </si>
  <si>
    <t>Identifique en la lista desplegable el resultado introducido al mercado de acuerdo a las siguientes definiciones:
- El bien por lo general es un objeto  tangible producido o fabricado mediante un proceso para el consumo o uso de las personas.
- El servicio es el conjunto de actividades que buscan satisfacer las necesidades de un cliente. El servicio suele ser intangible.
- El proceso productivo es la secuencia de actividades requeridas para elaborar bienes o brindar servicios.</t>
  </si>
  <si>
    <r>
      <rPr>
        <b/>
        <sz val="11"/>
        <color theme="1"/>
        <rFont val="Calibri"/>
        <family val="2"/>
        <scheme val="minor"/>
      </rPr>
      <t>Local.-</t>
    </r>
    <r>
      <rPr>
        <sz val="11"/>
        <color theme="1"/>
        <rFont val="Calibri"/>
        <family val="2"/>
        <scheme val="minor"/>
      </rPr>
      <t xml:space="preserve"> Dentro de la ciudad o provincia.
</t>
    </r>
    <r>
      <rPr>
        <b/>
        <sz val="11"/>
        <color theme="1"/>
        <rFont val="Calibri"/>
        <family val="2"/>
        <scheme val="minor"/>
      </rPr>
      <t xml:space="preserve">Regional.- </t>
    </r>
    <r>
      <rPr>
        <sz val="11"/>
        <color theme="1"/>
        <rFont val="Calibri"/>
        <family val="2"/>
        <scheme val="minor"/>
      </rPr>
      <t xml:space="preserve">Dentro de las regiones naturales (costa, sierra, oriente, insular) o las zonas administrativas de planificación de SENPLADES
</t>
    </r>
    <r>
      <rPr>
        <b/>
        <sz val="11"/>
        <color theme="1"/>
        <rFont val="Calibri"/>
        <family val="2"/>
        <scheme val="minor"/>
      </rPr>
      <t xml:space="preserve">Nacional.- </t>
    </r>
    <r>
      <rPr>
        <sz val="11"/>
        <color theme="1"/>
        <rFont val="Calibri"/>
        <family val="2"/>
        <scheme val="minor"/>
      </rPr>
      <t xml:space="preserve">Dentro de los límites de la República del Ecuador
</t>
    </r>
    <r>
      <rPr>
        <b/>
        <sz val="11"/>
        <color theme="1"/>
        <rFont val="Calibri"/>
        <family val="2"/>
        <scheme val="minor"/>
      </rPr>
      <t xml:space="preserve">Internacional.- </t>
    </r>
    <r>
      <rPr>
        <sz val="11"/>
        <color theme="1"/>
        <rFont val="Calibri"/>
        <family val="2"/>
        <scheme val="minor"/>
      </rPr>
      <t>Fuera de los límites de la República del Ecuador.</t>
    </r>
  </si>
  <si>
    <t>NUMERARIO</t>
  </si>
  <si>
    <r>
      <rPr>
        <b/>
        <sz val="11"/>
        <color indexed="8"/>
        <rFont val="Calibri"/>
        <family val="2"/>
      </rPr>
      <t>* Antes de llenar las tablas revisar los gastos elegibles y no elegibles</t>
    </r>
    <r>
      <rPr>
        <sz val="11"/>
        <color theme="1"/>
        <rFont val="Calibri"/>
        <family val="2"/>
        <scheme val="minor"/>
      </rPr>
      <t xml:space="preserve">
</t>
    </r>
    <r>
      <rPr>
        <b/>
        <sz val="11"/>
        <color indexed="8"/>
        <rFont val="Calibri"/>
        <family val="2"/>
      </rPr>
      <t>DEFINICIONES:</t>
    </r>
    <r>
      <rPr>
        <sz val="11"/>
        <color theme="1"/>
        <rFont val="Calibri"/>
        <family val="2"/>
        <scheme val="minor"/>
      </rPr>
      <t xml:space="preserve">
</t>
    </r>
    <r>
      <rPr>
        <b/>
        <sz val="11"/>
        <color indexed="8"/>
        <rFont val="Calibri"/>
        <family val="2"/>
      </rPr>
      <t>Monto de financiamiento requerido FCR.-</t>
    </r>
    <r>
      <rPr>
        <sz val="11"/>
        <color theme="1"/>
        <rFont val="Calibri"/>
        <family val="2"/>
        <scheme val="minor"/>
      </rPr>
      <t xml:space="preserve"> Valores de la inversión requerida desglosadas por tipo de cuenta.
</t>
    </r>
    <r>
      <rPr>
        <b/>
        <sz val="11"/>
        <color indexed="8"/>
        <rFont val="Calibri"/>
        <family val="2"/>
      </rPr>
      <t xml:space="preserve">Monto contrapartida de la entidad de derecho privado (MIPYME).- </t>
    </r>
    <r>
      <rPr>
        <sz val="11"/>
        <color theme="1"/>
        <rFont val="Calibri"/>
        <family val="2"/>
        <scheme val="minor"/>
      </rPr>
      <t xml:space="preserve">Montos disponibles por la contraparte para invertir en el proyecto (recursos propios) desglosados por tipo de cuenta.
</t>
    </r>
    <r>
      <rPr>
        <b/>
        <sz val="11"/>
        <color indexed="8"/>
        <rFont val="Calibri"/>
        <family val="2"/>
      </rPr>
      <t>Inversión Diferida.-</t>
    </r>
    <r>
      <rPr>
        <sz val="11"/>
        <color theme="1"/>
        <rFont val="Calibri"/>
        <family val="2"/>
        <scheme val="minor"/>
      </rPr>
      <t xml:space="preserve"> Se refiere a egresos de dinero en etapas previas a la implementación del proyecto, esta constituida por bienes o servicios intangibles caracterizados por ser inmateriales y no estar sujetos a desgaste físico. 
</t>
    </r>
    <r>
      <rPr>
        <b/>
        <sz val="11"/>
        <color indexed="8"/>
        <rFont val="Calibri"/>
        <family val="2"/>
      </rPr>
      <t xml:space="preserve">Capital de trabajo.- </t>
    </r>
    <r>
      <rPr>
        <sz val="11"/>
        <color theme="1"/>
        <rFont val="Calibri"/>
        <family val="2"/>
        <scheme val="minor"/>
      </rPr>
      <t xml:space="preserve">Se considera como aquellos recursos que requiere la empresa para poder operar. En este sentido el capital de trabajo es lo que comúnmente conocemos como activo corriente (efectivo, inversiones a corto plazo, cartera e inventarios).
</t>
    </r>
    <r>
      <rPr>
        <b/>
        <sz val="11"/>
        <color indexed="8"/>
        <rFont val="Calibri"/>
        <family val="2"/>
      </rPr>
      <t xml:space="preserve">
Numerario.-</t>
    </r>
    <r>
      <rPr>
        <sz val="11"/>
        <color theme="1"/>
        <rFont val="Calibri"/>
        <family val="2"/>
        <scheme val="minor"/>
      </rPr>
      <t xml:space="preserve"> Dinero en efectivo en denominación de dólares de los Estados Unidos de Norte América.
</t>
    </r>
    <r>
      <rPr>
        <b/>
        <sz val="11"/>
        <color indexed="8"/>
        <rFont val="Calibri"/>
        <family val="2"/>
      </rPr>
      <t xml:space="preserve">
Activo Tangible.-</t>
    </r>
    <r>
      <rPr>
        <sz val="11"/>
        <color theme="1"/>
        <rFont val="Calibri"/>
        <family val="2"/>
        <scheme val="minor"/>
      </rPr>
      <t xml:space="preserve"> Contraparte en bienes tangibles como edificios, terrenos, vehículos, maquinaria, inventario u otros. La contraparte en especie deberá ser propiedad de la entidad de derecho privado, y deberá servir para el desarrollo del proyecto. 
</t>
    </r>
    <r>
      <rPr>
        <b/>
        <sz val="11"/>
        <color indexed="8"/>
        <rFont val="Calibri"/>
        <family val="2"/>
      </rPr>
      <t xml:space="preserve">
Activo Intangible.-</t>
    </r>
    <r>
      <rPr>
        <sz val="11"/>
        <color theme="1"/>
        <rFont val="Calibri"/>
        <family val="2"/>
        <scheme val="minor"/>
      </rPr>
      <t xml:space="preserve"> Contraparte en bienes intangibles como derechos de llaves, marcas, patentes, Know how, etc., los cuales deberán ser valorados conforme la normativa establecida por el Servicio Nacional de Derechos Intelectuales (Senadi).</t>
    </r>
  </si>
  <si>
    <r>
      <rPr>
        <b/>
        <sz val="11"/>
        <color indexed="8"/>
        <rFont val="Calibri"/>
        <family val="2"/>
      </rPr>
      <t>* Antes de llenar las tablas revisar los gastos elegibles y no elegibles
DEFINICIONES:</t>
    </r>
    <r>
      <rPr>
        <sz val="11"/>
        <color theme="1"/>
        <rFont val="Calibri"/>
        <family val="2"/>
        <scheme val="minor"/>
      </rPr>
      <t xml:space="preserve">
</t>
    </r>
    <r>
      <rPr>
        <b/>
        <sz val="11"/>
        <color indexed="8"/>
        <rFont val="Calibri"/>
        <family val="2"/>
      </rPr>
      <t>Monto Total Requerido.-</t>
    </r>
    <r>
      <rPr>
        <sz val="11"/>
        <color theme="1"/>
        <rFont val="Calibri"/>
        <family val="2"/>
        <scheme val="minor"/>
      </rPr>
      <t xml:space="preserve"> Valor total de la inversión (sumatoria del financiamiento del FCR más el monto de la contrapartida)
</t>
    </r>
    <r>
      <rPr>
        <b/>
        <sz val="11"/>
        <color indexed="8"/>
        <rFont val="Calibri"/>
        <family val="2"/>
      </rPr>
      <t xml:space="preserve">
Monto máximo de Financiamiento a través del FCR.-</t>
    </r>
    <r>
      <rPr>
        <sz val="11"/>
        <color theme="1"/>
        <rFont val="Calibri"/>
        <family val="2"/>
        <scheme val="minor"/>
      </rPr>
      <t xml:space="preserve"> Monto que se requiere solicitar al FCR.
</t>
    </r>
    <r>
      <rPr>
        <b/>
        <sz val="11"/>
        <color indexed="8"/>
        <rFont val="Calibri"/>
        <family val="2"/>
      </rPr>
      <t xml:space="preserve">Monto Mínimo de contrapartida de la entidad de derecho privado (Mipyme).- </t>
    </r>
    <r>
      <rPr>
        <sz val="11"/>
        <color theme="1"/>
        <rFont val="Calibri"/>
        <family val="2"/>
        <scheme val="minor"/>
      </rPr>
      <t xml:space="preserve">Monto disponible de la contraparte para invertir en el proyecto (recursos propios).
</t>
    </r>
    <r>
      <rPr>
        <b/>
        <sz val="11"/>
        <color indexed="8"/>
        <rFont val="Calibri"/>
        <family val="2"/>
      </rPr>
      <t>Numerario.-</t>
    </r>
    <r>
      <rPr>
        <sz val="11"/>
        <color theme="1"/>
        <rFont val="Calibri"/>
        <family val="2"/>
        <scheme val="minor"/>
      </rPr>
      <t xml:space="preserve"> Dinero en efectivo en denominación de dólares de los Estados Unidos de Norte América.
</t>
    </r>
    <r>
      <rPr>
        <b/>
        <sz val="11"/>
        <color indexed="8"/>
        <rFont val="Calibri"/>
        <family val="2"/>
      </rPr>
      <t>Activo Tangible.</t>
    </r>
    <r>
      <rPr>
        <sz val="11"/>
        <color theme="1"/>
        <rFont val="Calibri"/>
        <family val="2"/>
        <scheme val="minor"/>
      </rPr>
      <t xml:space="preserve">- Contraparte en bienes tangibles como edificios, terrenos, vehículos, maquinaria, inventario u otros. La contraparte en especie deberá ser propiedad de la entidad de derecho privado, y deberá servir para el desarrollo del proyecto. 
</t>
    </r>
    <r>
      <rPr>
        <b/>
        <sz val="11"/>
        <color indexed="8"/>
        <rFont val="Calibri"/>
        <family val="2"/>
      </rPr>
      <t>Activo Intangible.-</t>
    </r>
    <r>
      <rPr>
        <sz val="11"/>
        <color theme="1"/>
        <rFont val="Calibri"/>
        <family val="2"/>
        <scheme val="minor"/>
      </rPr>
      <t xml:space="preserve"> Contraparte en bienes intangibles como derechos de llaves, marcas, patentes, Know how, etc., los cuales deberán ser valorados conforme la normativa establecida por el Servicio Nacional de Derechos Intelectuales (Senadi).</t>
    </r>
  </si>
  <si>
    <r>
      <t xml:space="preserve">El video pitch deberá describir en forma verbal los aspectos más relevantes del emprendimiento innovador y en un tiempo máximo de 4 minutos desarrollar el siguiente contenido: 
</t>
    </r>
    <r>
      <rPr>
        <b/>
        <sz val="11"/>
        <color indexed="8"/>
        <rFont val="Calibri"/>
        <family val="2"/>
      </rPr>
      <t>1) Presentación: (Máximo 1 min.).</t>
    </r>
    <r>
      <rPr>
        <sz val="11"/>
        <color theme="1"/>
        <rFont val="Calibri"/>
        <family val="2"/>
        <scheme val="minor"/>
      </rPr>
      <t xml:space="preserve">
• Nombre del postulante y quienes conforman el equipo de trabajo, el título del emprendimiento innovador, ubicación geográfica, y una breve descripción del concepto de negocio del proyecto. 
</t>
    </r>
    <r>
      <rPr>
        <b/>
        <sz val="11"/>
        <color indexed="8"/>
        <rFont val="Calibri"/>
        <family val="2"/>
      </rPr>
      <t>2) Desarrollo: (Máximo 2 min.).</t>
    </r>
    <r>
      <rPr>
        <sz val="11"/>
        <color theme="1"/>
        <rFont val="Calibri"/>
        <family val="2"/>
        <scheme val="minor"/>
      </rPr>
      <t xml:space="preserve">
•Descripción del problema que se pretende resolver u oportunidad a aprovechar con el desarrollo del bien, servicio o proceso innovador. 
• Detalle de necesidades, en orden de prioridad, del emprendimiento innovador, situación actual, justificación de la necesidad de financiación, y destino de los recursos solicitados (herramientas, insumos, servicios profesionales, entre otros).
</t>
    </r>
    <r>
      <rPr>
        <b/>
        <sz val="11"/>
        <color indexed="8"/>
        <rFont val="Calibri"/>
        <family val="2"/>
      </rPr>
      <t>3) Cierre: (Máximo 1 min.).</t>
    </r>
    <r>
      <rPr>
        <sz val="11"/>
        <color theme="1"/>
        <rFont val="Calibri"/>
        <family val="2"/>
        <scheme val="minor"/>
      </rPr>
      <t xml:space="preserve">
•Presentación de las razones que motiven a invertir en el proyecto, relacionadas con el impacto de recibir los recursos en la elaboración, el funcionamiento y crecimiento del proyecto.
</t>
    </r>
  </si>
  <si>
    <t>INFORMACIÓN COMPLEMENTARIA</t>
  </si>
  <si>
    <t>1.11</t>
  </si>
  <si>
    <t>1.13</t>
  </si>
  <si>
    <t>3.3</t>
  </si>
  <si>
    <t>4.1</t>
  </si>
  <si>
    <t>4.2</t>
  </si>
  <si>
    <t>4.3</t>
  </si>
  <si>
    <t>4.4</t>
  </si>
  <si>
    <t>5.1</t>
  </si>
  <si>
    <t>5.2</t>
  </si>
  <si>
    <t>5.3</t>
  </si>
  <si>
    <t>5.4</t>
  </si>
  <si>
    <t>5.7</t>
  </si>
  <si>
    <t>5.9</t>
  </si>
  <si>
    <t>PROVINCIAS</t>
  </si>
  <si>
    <t>OPCION</t>
  </si>
  <si>
    <t>CATEGORIA</t>
  </si>
  <si>
    <t>ETAPA</t>
  </si>
  <si>
    <t>INDUSTRIA</t>
  </si>
  <si>
    <t>FIN</t>
  </si>
  <si>
    <t>NOVEDAD</t>
  </si>
  <si>
    <t>INOVACION</t>
  </si>
  <si>
    <t>FECHA ACTUAL</t>
  </si>
  <si>
    <t>CONTRAPARTE DE LA ENTIDAD DE DERECHO PRIVADO (MÍNIMO 25% DE LA INVERSIÓN) IDEA PROYECTO</t>
  </si>
  <si>
    <r>
      <t xml:space="preserve">CONTRAPARTE DE LA ENTIDAD DE DERECHO PRIVADO (MÍNIMO 25% DE LA INVERSIÓN) </t>
    </r>
    <r>
      <rPr>
        <b/>
        <sz val="11"/>
        <rFont val="Calibri"/>
        <family val="2"/>
      </rPr>
      <t>PUESTA EN MARCHA</t>
    </r>
  </si>
  <si>
    <t>VIDEO PITCH     (COPIAR ENLACE)</t>
  </si>
  <si>
    <t/>
  </si>
  <si>
    <t>1.1 *</t>
  </si>
  <si>
    <t>1.2 *</t>
  </si>
  <si>
    <t>1.4 *</t>
  </si>
  <si>
    <t>1 *</t>
  </si>
  <si>
    <t>1.3 *</t>
  </si>
  <si>
    <t>1.5 *</t>
  </si>
  <si>
    <t>1.6 *</t>
  </si>
  <si>
    <t>1.7 *</t>
  </si>
  <si>
    <t>1.8 *</t>
  </si>
  <si>
    <t>1.9 *</t>
  </si>
  <si>
    <t>1.10 *</t>
  </si>
  <si>
    <t>1.12 *</t>
  </si>
  <si>
    <t>2.1 *</t>
  </si>
  <si>
    <t>2.2 *</t>
  </si>
  <si>
    <t>2.3 *</t>
  </si>
  <si>
    <t>2.4 *</t>
  </si>
  <si>
    <t>2.5 *</t>
  </si>
  <si>
    <t>2.6 *</t>
  </si>
  <si>
    <t>2.7 *</t>
  </si>
  <si>
    <t>2.8 *</t>
  </si>
  <si>
    <t>3.1 *</t>
  </si>
  <si>
    <t>3.2 *</t>
  </si>
  <si>
    <t>3.4 *</t>
  </si>
  <si>
    <t>3.5 *</t>
  </si>
  <si>
    <t>3.6 *</t>
  </si>
  <si>
    <t>3.9 *</t>
  </si>
  <si>
    <t>3.10 *</t>
  </si>
  <si>
    <t>3.11 *</t>
  </si>
  <si>
    <t>3.7 *</t>
  </si>
  <si>
    <t>3.8 *</t>
  </si>
  <si>
    <t>5.5 *</t>
  </si>
  <si>
    <t>5,6 *</t>
  </si>
  <si>
    <t>5.8 *</t>
  </si>
  <si>
    <t>5.10 *</t>
  </si>
  <si>
    <t>CONTRAPARTE DE LA ENTIDAD DE DERECHO PRIVADO (MÍNIMO 25% DE LA INVERSIÓN) PUESTA EN MARCHA</t>
  </si>
</sst>
</file>

<file path=xl/styles.xml><?xml version="1.0" encoding="utf-8"?>
<styleSheet xmlns="http://schemas.openxmlformats.org/spreadsheetml/2006/main">
  <numFmts count="8">
    <numFmt numFmtId="44" formatCode="_(&quot;$&quot;\ * #,##0.00_);_(&quot;$&quot;\ * \(#,##0.00\);_(&quot;$&quot;\ * &quot;-&quot;??_);_(@_)"/>
    <numFmt numFmtId="164" formatCode="0#_########"/>
    <numFmt numFmtId="165" formatCode="&quot;EXT&quot;_######"/>
    <numFmt numFmtId="166" formatCode="0#########"/>
    <numFmt numFmtId="167" formatCode="0.000%"/>
    <numFmt numFmtId="168" formatCode="&quot;0&quot;########"/>
    <numFmt numFmtId="169" formatCode="&quot;0&quot;#########"/>
    <numFmt numFmtId="170" formatCode="#\ &quot;%&quot;"/>
  </numFmts>
  <fonts count="3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10"/>
      <name val="Arial"/>
      <family val="2"/>
    </font>
    <font>
      <sz val="11"/>
      <color rgb="FF1F497D"/>
      <name val="Symbol"/>
      <family val="1"/>
      <charset val="2"/>
    </font>
    <font>
      <i/>
      <sz val="11"/>
      <color theme="1"/>
      <name val="Arial"/>
      <family val="2"/>
    </font>
    <font>
      <b/>
      <sz val="11"/>
      <name val="Calibri"/>
      <family val="2"/>
      <scheme val="minor"/>
    </font>
    <font>
      <b/>
      <sz val="11"/>
      <color rgb="FF000000"/>
      <name val="Calibri"/>
      <family val="2"/>
      <scheme val="minor"/>
    </font>
    <font>
      <sz val="11"/>
      <name val="Calibri"/>
      <family val="2"/>
      <scheme val="minor"/>
    </font>
    <font>
      <sz val="11"/>
      <color rgb="FF000000"/>
      <name val="Calibri"/>
      <family val="2"/>
      <scheme val="minor"/>
    </font>
    <font>
      <u/>
      <sz val="11"/>
      <color rgb="FF000000"/>
      <name val="Calibri"/>
      <family val="2"/>
      <scheme val="minor"/>
    </font>
    <font>
      <sz val="11"/>
      <color theme="0" tint="-4.9989318521683403E-2"/>
      <name val="Calibri"/>
      <family val="2"/>
      <scheme val="minor"/>
    </font>
    <font>
      <sz val="12"/>
      <color theme="1"/>
      <name val="Arial"/>
      <family val="2"/>
    </font>
    <font>
      <b/>
      <sz val="9"/>
      <color indexed="81"/>
      <name val="Tahoma"/>
      <family val="2"/>
    </font>
    <font>
      <sz val="9"/>
      <color indexed="81"/>
      <name val="Tahoma"/>
      <family val="2"/>
    </font>
    <font>
      <u/>
      <sz val="7.7"/>
      <color theme="10"/>
      <name val="Calibri"/>
      <family val="2"/>
    </font>
    <font>
      <sz val="10"/>
      <color theme="1"/>
      <name val="Calibri"/>
      <family val="2"/>
      <scheme val="minor"/>
    </font>
    <font>
      <sz val="11"/>
      <color theme="4" tint="0.79998168889431442"/>
      <name val="Calibri"/>
      <family val="2"/>
      <scheme val="minor"/>
    </font>
    <font>
      <b/>
      <sz val="11"/>
      <color indexed="8"/>
      <name val="Calibri"/>
      <family val="2"/>
    </font>
    <font>
      <sz val="11"/>
      <color indexed="10"/>
      <name val="Calibri"/>
      <family val="2"/>
    </font>
    <font>
      <u/>
      <sz val="11"/>
      <color indexed="30"/>
      <name val="Calibri"/>
      <family val="2"/>
    </font>
    <font>
      <sz val="16"/>
      <color rgb="FFFFFFFF"/>
      <name val="Calibri"/>
      <family val="2"/>
      <scheme val="minor"/>
    </font>
    <font>
      <sz val="11"/>
      <color theme="3" tint="0.39997558519241921"/>
      <name val="Calibri"/>
      <family val="2"/>
      <scheme val="minor"/>
    </font>
    <font>
      <u/>
      <sz val="14"/>
      <color theme="10"/>
      <name val="Calibri"/>
      <family val="2"/>
    </font>
    <font>
      <b/>
      <sz val="14"/>
      <color theme="1"/>
      <name val="Calibri"/>
      <family val="2"/>
      <scheme val="minor"/>
    </font>
    <font>
      <sz val="12"/>
      <name val="Arial"/>
      <family val="2"/>
    </font>
    <font>
      <b/>
      <sz val="11"/>
      <name val="Calibri"/>
      <family val="2"/>
    </font>
  </fonts>
  <fills count="18">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002060"/>
        <bgColor indexed="64"/>
      </patternFill>
    </fill>
    <fill>
      <patternFill patternType="solid">
        <fgColor theme="4" tint="-0.499984740745262"/>
        <bgColor indexed="64"/>
      </patternFill>
    </fill>
    <fill>
      <patternFill patternType="solid">
        <fgColor theme="3"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rgb="FFFFFFFF"/>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dotted">
        <color indexed="64"/>
      </bottom>
      <diagonal/>
    </border>
    <border>
      <left/>
      <right/>
      <top/>
      <bottom style="dotted">
        <color indexed="64"/>
      </bottom>
      <diagonal/>
    </border>
    <border>
      <left/>
      <right/>
      <top style="dotted">
        <color indexed="64"/>
      </top>
      <bottom style="dotted">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alignment vertical="top"/>
      <protection locked="0"/>
    </xf>
  </cellStyleXfs>
  <cellXfs count="351">
    <xf numFmtId="0" fontId="0" fillId="0" borderId="0" xfId="0"/>
    <xf numFmtId="0" fontId="0" fillId="2" borderId="0" xfId="0" applyFill="1"/>
    <xf numFmtId="0" fontId="3" fillId="2" borderId="0" xfId="0" applyFont="1" applyFill="1"/>
    <xf numFmtId="0" fontId="4" fillId="2" borderId="0" xfId="0" applyFont="1" applyFill="1" applyBorder="1" applyAlignment="1">
      <alignment vertical="center"/>
    </xf>
    <xf numFmtId="0" fontId="4" fillId="4" borderId="1" xfId="0" applyFont="1" applyFill="1" applyBorder="1" applyAlignment="1">
      <alignment vertical="center"/>
    </xf>
    <xf numFmtId="49" fontId="0" fillId="0" borderId="1" xfId="0" applyNumberFormat="1" applyFill="1" applyBorder="1"/>
    <xf numFmtId="0" fontId="0" fillId="0" borderId="3" xfId="0" applyFill="1" applyBorder="1"/>
    <xf numFmtId="0" fontId="0" fillId="0" borderId="0" xfId="0" applyFill="1"/>
    <xf numFmtId="0" fontId="0" fillId="0" borderId="1" xfId="0" applyFill="1" applyBorder="1"/>
    <xf numFmtId="0" fontId="8" fillId="0" borderId="0" xfId="0" applyFont="1" applyAlignment="1">
      <alignment horizontal="left" indent="5"/>
    </xf>
    <xf numFmtId="0" fontId="0" fillId="2" borderId="1" xfId="0" applyFill="1" applyBorder="1"/>
    <xf numFmtId="164" fontId="0" fillId="2" borderId="1" xfId="0" applyNumberFormat="1" applyFill="1" applyBorder="1"/>
    <xf numFmtId="166" fontId="0" fillId="2" borderId="1" xfId="0" applyNumberFormat="1" applyFill="1" applyBorder="1"/>
    <xf numFmtId="0" fontId="0" fillId="0" borderId="1" xfId="0" applyBorder="1"/>
    <xf numFmtId="0" fontId="4" fillId="4" borderId="1" xfId="0" applyFont="1" applyFill="1" applyBorder="1" applyAlignment="1">
      <alignment vertical="center" wrapText="1"/>
    </xf>
    <xf numFmtId="0" fontId="0" fillId="0" borderId="0" xfId="0" applyFill="1" applyBorder="1"/>
    <xf numFmtId="0" fontId="0" fillId="2" borderId="0" xfId="0" applyFill="1" applyBorder="1"/>
    <xf numFmtId="0" fontId="0" fillId="2" borderId="0" xfId="0" applyFill="1" applyBorder="1" applyAlignment="1"/>
    <xf numFmtId="0" fontId="4" fillId="4" borderId="2" xfId="0" applyFont="1" applyFill="1" applyBorder="1" applyAlignment="1">
      <alignment vertical="center" wrapText="1"/>
    </xf>
    <xf numFmtId="0" fontId="4" fillId="2" borderId="0" xfId="0" applyFont="1" applyFill="1" applyBorder="1" applyAlignment="1">
      <alignment vertical="center" wrapText="1"/>
    </xf>
    <xf numFmtId="0" fontId="0" fillId="8" borderId="0" xfId="0" applyFill="1" applyBorder="1"/>
    <xf numFmtId="0" fontId="11" fillId="4" borderId="1" xfId="0" applyFont="1" applyFill="1" applyBorder="1" applyAlignment="1">
      <alignment horizontal="center" vertical="center" wrapText="1"/>
    </xf>
    <xf numFmtId="0" fontId="11" fillId="4" borderId="17" xfId="0" applyFont="1" applyFill="1" applyBorder="1" applyAlignment="1">
      <alignment horizontal="center" vertical="center" wrapText="1"/>
    </xf>
    <xf numFmtId="0" fontId="0" fillId="4" borderId="1" xfId="0" applyFill="1" applyBorder="1" applyAlignment="1">
      <alignment horizontal="center" wrapText="1"/>
    </xf>
    <xf numFmtId="44" fontId="1" fillId="4" borderId="1" xfId="1" applyFont="1" applyFill="1" applyBorder="1"/>
    <xf numFmtId="44" fontId="1" fillId="0" borderId="1" xfId="1" applyFont="1" applyFill="1" applyBorder="1" applyAlignment="1">
      <alignment horizontal="right" wrapText="1"/>
    </xf>
    <xf numFmtId="44" fontId="1" fillId="0" borderId="17" xfId="1" applyFont="1" applyFill="1" applyBorder="1"/>
    <xf numFmtId="0" fontId="0" fillId="4" borderId="1" xfId="0" applyFill="1" applyBorder="1" applyAlignment="1">
      <alignment horizontal="center"/>
    </xf>
    <xf numFmtId="9" fontId="1" fillId="4" borderId="1" xfId="2" applyFont="1" applyFill="1" applyBorder="1"/>
    <xf numFmtId="9" fontId="1" fillId="4" borderId="1" xfId="2" applyFont="1" applyFill="1" applyBorder="1" applyAlignment="1">
      <alignment horizontal="right" wrapText="1"/>
    </xf>
    <xf numFmtId="9" fontId="0" fillId="4" borderId="17" xfId="0" applyNumberFormat="1" applyFill="1" applyBorder="1"/>
    <xf numFmtId="0" fontId="13" fillId="4" borderId="1" xfId="0" applyFont="1" applyFill="1" applyBorder="1" applyAlignment="1">
      <alignment wrapText="1"/>
    </xf>
    <xf numFmtId="0" fontId="13" fillId="4" borderId="1" xfId="0" applyFont="1" applyFill="1" applyBorder="1" applyAlignment="1">
      <alignment horizontal="center" wrapText="1"/>
    </xf>
    <xf numFmtId="44" fontId="1" fillId="0" borderId="1" xfId="1" applyFont="1" applyBorder="1"/>
    <xf numFmtId="10" fontId="1" fillId="4" borderId="1" xfId="2" applyNumberFormat="1" applyFont="1" applyFill="1" applyBorder="1"/>
    <xf numFmtId="44" fontId="13" fillId="0" borderId="1" xfId="1" applyFont="1" applyFill="1" applyBorder="1" applyAlignment="1">
      <alignment wrapText="1"/>
    </xf>
    <xf numFmtId="0" fontId="11" fillId="4" borderId="1" xfId="0" applyFont="1" applyFill="1" applyBorder="1" applyAlignment="1">
      <alignment vertical="center"/>
    </xf>
    <xf numFmtId="0" fontId="11" fillId="4" borderId="1" xfId="0" applyFont="1" applyFill="1" applyBorder="1" applyAlignment="1">
      <alignment horizontal="center" vertical="center"/>
    </xf>
    <xf numFmtId="44" fontId="13" fillId="0" borderId="1" xfId="1" applyFont="1" applyBorder="1"/>
    <xf numFmtId="44" fontId="13" fillId="4" borderId="1" xfId="1" applyFont="1" applyFill="1" applyBorder="1"/>
    <xf numFmtId="0" fontId="13" fillId="4" borderId="1" xfId="0" applyFont="1" applyFill="1" applyBorder="1" applyAlignment="1">
      <alignment vertical="center" wrapText="1"/>
    </xf>
    <xf numFmtId="0" fontId="14" fillId="4" borderId="1" xfId="0" applyFont="1" applyFill="1" applyBorder="1" applyAlignment="1">
      <alignment horizontal="right" wrapText="1"/>
    </xf>
    <xf numFmtId="10" fontId="1" fillId="0" borderId="1" xfId="2" applyNumberFormat="1" applyFont="1" applyFill="1" applyBorder="1"/>
    <xf numFmtId="0" fontId="0" fillId="10" borderId="0" xfId="0" applyFill="1" applyBorder="1"/>
    <xf numFmtId="0" fontId="15" fillId="10" borderId="0" xfId="0" applyFont="1" applyFill="1" applyBorder="1"/>
    <xf numFmtId="44" fontId="1" fillId="0" borderId="23" xfId="1" applyFont="1" applyBorder="1"/>
    <xf numFmtId="0" fontId="4" fillId="2" borderId="0" xfId="0" applyFont="1" applyFill="1"/>
    <xf numFmtId="9" fontId="13" fillId="4" borderId="1" xfId="2" applyFont="1" applyFill="1" applyBorder="1" applyAlignment="1">
      <alignment horizontal="right"/>
    </xf>
    <xf numFmtId="0" fontId="10" fillId="13" borderId="1" xfId="0" applyFont="1" applyFill="1" applyBorder="1"/>
    <xf numFmtId="0" fontId="2" fillId="12" borderId="1" xfId="0" applyFont="1" applyFill="1" applyBorder="1" applyAlignment="1">
      <alignment vertical="center"/>
    </xf>
    <xf numFmtId="0" fontId="4" fillId="14" borderId="1" xfId="0" applyFont="1" applyFill="1" applyBorder="1" applyAlignment="1">
      <alignment vertical="center"/>
    </xf>
    <xf numFmtId="165" fontId="0" fillId="2" borderId="1" xfId="0" applyNumberFormat="1" applyFill="1" applyBorder="1"/>
    <xf numFmtId="0" fontId="19" fillId="2" borderId="1" xfId="3" applyFill="1" applyBorder="1" applyAlignment="1" applyProtection="1"/>
    <xf numFmtId="0" fontId="4" fillId="14" borderId="1" xfId="0" applyFont="1" applyFill="1" applyBorder="1" applyAlignment="1">
      <alignment vertical="center" wrapText="1"/>
    </xf>
    <xf numFmtId="0" fontId="0" fillId="2" borderId="1" xfId="0" applyFill="1" applyBorder="1" applyAlignment="1">
      <alignment horizontal="left" wrapText="1"/>
    </xf>
    <xf numFmtId="0" fontId="0" fillId="2" borderId="1" xfId="0" applyFill="1" applyBorder="1" applyAlignment="1">
      <alignment horizontal="left" vertical="center" wrapText="1"/>
    </xf>
    <xf numFmtId="0" fontId="0" fillId="2" borderId="1" xfId="0" applyFill="1" applyBorder="1" applyAlignment="1">
      <alignment horizontal="left" vertical="center"/>
    </xf>
    <xf numFmtId="0" fontId="0" fillId="2" borderId="1" xfId="0" applyFill="1" applyBorder="1" applyAlignment="1">
      <alignment horizontal="center"/>
    </xf>
    <xf numFmtId="0" fontId="6" fillId="7" borderId="11" xfId="0" applyFont="1" applyFill="1" applyBorder="1" applyAlignment="1"/>
    <xf numFmtId="0" fontId="6" fillId="7" borderId="2" xfId="0" applyFont="1" applyFill="1" applyBorder="1" applyAlignment="1"/>
    <xf numFmtId="0" fontId="0" fillId="2" borderId="1" xfId="0" applyFill="1" applyBorder="1" applyAlignment="1">
      <alignment horizontal="left" vertical="top" wrapText="1"/>
    </xf>
    <xf numFmtId="0" fontId="0" fillId="8" borderId="0" xfId="0" applyFill="1"/>
    <xf numFmtId="0" fontId="21" fillId="8" borderId="0" xfId="0" applyFont="1" applyFill="1"/>
    <xf numFmtId="0" fontId="0" fillId="10" borderId="0" xfId="0" applyFill="1"/>
    <xf numFmtId="0" fontId="0" fillId="10" borderId="0" xfId="0" applyFill="1" applyAlignment="1">
      <alignment horizontal="left"/>
    </xf>
    <xf numFmtId="9" fontId="1" fillId="4" borderId="3" xfId="2" applyFont="1" applyFill="1" applyBorder="1" applyAlignment="1">
      <alignment horizontal="center"/>
    </xf>
    <xf numFmtId="44" fontId="13" fillId="0" borderId="1" xfId="1" applyNumberFormat="1" applyFont="1" applyFill="1" applyBorder="1" applyAlignment="1">
      <alignment wrapText="1"/>
    </xf>
    <xf numFmtId="9" fontId="13" fillId="10" borderId="0" xfId="2" applyFont="1" applyFill="1" applyBorder="1" applyAlignment="1">
      <alignment wrapText="1"/>
    </xf>
    <xf numFmtId="0" fontId="13" fillId="10" borderId="0" xfId="0" applyFont="1" applyFill="1" applyBorder="1" applyAlignment="1">
      <alignment wrapText="1"/>
    </xf>
    <xf numFmtId="0" fontId="10" fillId="2" borderId="0" xfId="0" applyFont="1" applyFill="1" applyBorder="1"/>
    <xf numFmtId="0" fontId="25" fillId="0" borderId="0" xfId="0" applyFont="1" applyAlignment="1">
      <alignment horizontal="center"/>
    </xf>
    <xf numFmtId="0" fontId="0" fillId="2" borderId="5" xfId="0" applyFill="1" applyBorder="1" applyAlignment="1">
      <alignment vertical="top"/>
    </xf>
    <xf numFmtId="0" fontId="0" fillId="2" borderId="6" xfId="0" applyFill="1" applyBorder="1" applyAlignment="1">
      <alignment vertical="top"/>
    </xf>
    <xf numFmtId="0" fontId="0" fillId="2" borderId="4" xfId="0" applyFill="1" applyBorder="1" applyAlignment="1">
      <alignment vertical="top"/>
    </xf>
    <xf numFmtId="0" fontId="0" fillId="2" borderId="0" xfId="0" applyFill="1" applyBorder="1" applyAlignment="1">
      <alignment vertical="top"/>
    </xf>
    <xf numFmtId="0" fontId="0" fillId="2" borderId="0" xfId="0" applyFill="1" applyBorder="1" applyAlignment="1">
      <alignment vertical="top" wrapText="1"/>
    </xf>
    <xf numFmtId="0" fontId="0" fillId="2" borderId="6" xfId="0" applyFill="1" applyBorder="1"/>
    <xf numFmtId="0" fontId="0" fillId="2" borderId="7" xfId="0" applyFill="1" applyBorder="1"/>
    <xf numFmtId="0" fontId="0" fillId="2" borderId="12" xfId="0" applyFill="1" applyBorder="1"/>
    <xf numFmtId="0" fontId="0" fillId="2" borderId="12" xfId="0" applyFill="1" applyBorder="1" applyAlignment="1">
      <alignment vertical="top" wrapText="1"/>
    </xf>
    <xf numFmtId="0" fontId="0" fillId="2" borderId="4" xfId="0" applyFill="1" applyBorder="1"/>
    <xf numFmtId="0" fontId="0" fillId="2" borderId="8" xfId="0" applyFill="1" applyBorder="1"/>
    <xf numFmtId="0" fontId="0" fillId="2" borderId="9" xfId="0" applyFill="1" applyBorder="1"/>
    <xf numFmtId="0" fontId="0" fillId="2" borderId="10" xfId="0" applyFill="1" applyBorder="1"/>
    <xf numFmtId="0" fontId="3" fillId="2" borderId="0" xfId="0" applyFont="1" applyFill="1" applyBorder="1"/>
    <xf numFmtId="0" fontId="0" fillId="0" borderId="1" xfId="0" applyFill="1" applyBorder="1" applyAlignment="1">
      <alignment horizontal="left" vertical="center" wrapText="1"/>
    </xf>
    <xf numFmtId="0" fontId="0" fillId="0" borderId="1" xfId="0" applyFill="1" applyBorder="1" applyAlignment="1">
      <alignment horizontal="left" wrapText="1"/>
    </xf>
    <xf numFmtId="0" fontId="4" fillId="0" borderId="0" xfId="0" applyFont="1" applyAlignment="1">
      <alignment horizontal="left"/>
    </xf>
    <xf numFmtId="0" fontId="4" fillId="0" borderId="0" xfId="0" applyFont="1"/>
    <xf numFmtId="1" fontId="4" fillId="0" borderId="0" xfId="0" applyNumberFormat="1" applyFont="1" applyAlignment="1">
      <alignment horizontal="right"/>
    </xf>
    <xf numFmtId="0" fontId="7" fillId="0" borderId="0" xfId="0" applyNumberFormat="1" applyFont="1" applyFill="1" applyBorder="1" applyAlignment="1">
      <alignment horizontal="left" vertical="center" wrapText="1"/>
    </xf>
    <xf numFmtId="0" fontId="7" fillId="0" borderId="0" xfId="0" applyFont="1" applyFill="1" applyBorder="1" applyAlignment="1">
      <alignment horizontal="left" vertical="center" wrapText="1"/>
    </xf>
    <xf numFmtId="1" fontId="0" fillId="0" borderId="0" xfId="0" applyNumberFormat="1" applyAlignment="1">
      <alignment horizontal="right"/>
    </xf>
    <xf numFmtId="0" fontId="0" fillId="0" borderId="0" xfId="0" applyAlignment="1">
      <alignment horizontal="left"/>
    </xf>
    <xf numFmtId="2" fontId="0" fillId="0" borderId="0" xfId="0" applyNumberFormat="1"/>
    <xf numFmtId="14" fontId="0" fillId="0" borderId="0" xfId="0" applyNumberFormat="1"/>
    <xf numFmtId="0" fontId="0" fillId="2" borderId="0" xfId="0" applyFill="1" applyProtection="1"/>
    <xf numFmtId="0" fontId="3" fillId="2" borderId="0" xfId="0" applyFont="1" applyFill="1" applyProtection="1"/>
    <xf numFmtId="0" fontId="4" fillId="2" borderId="0" xfId="0" applyFont="1" applyFill="1" applyBorder="1" applyAlignment="1" applyProtection="1">
      <alignment vertical="center"/>
    </xf>
    <xf numFmtId="0" fontId="0" fillId="0" borderId="0" xfId="0" applyBorder="1" applyAlignment="1" applyProtection="1">
      <alignment vertical="center"/>
    </xf>
    <xf numFmtId="0" fontId="0" fillId="2" borderId="0" xfId="0" applyFill="1" applyBorder="1" applyAlignment="1" applyProtection="1">
      <alignment horizontal="center" vertical="center"/>
    </xf>
    <xf numFmtId="0" fontId="28" fillId="3" borderId="1" xfId="0" applyFont="1" applyFill="1" applyBorder="1" applyAlignment="1" applyProtection="1">
      <alignment wrapText="1"/>
    </xf>
    <xf numFmtId="0" fontId="0" fillId="2" borderId="0" xfId="0" applyFill="1" applyAlignment="1" applyProtection="1">
      <alignment horizontal="center"/>
    </xf>
    <xf numFmtId="0" fontId="4" fillId="4" borderId="1" xfId="0" applyFont="1" applyFill="1" applyBorder="1" applyAlignment="1" applyProtection="1">
      <alignment vertical="center"/>
    </xf>
    <xf numFmtId="0" fontId="0" fillId="2" borderId="0" xfId="0" applyFill="1" applyAlignment="1" applyProtection="1">
      <alignment horizontal="right" indent="2"/>
    </xf>
    <xf numFmtId="0" fontId="0" fillId="0" borderId="0" xfId="0" applyFill="1" applyProtection="1"/>
    <xf numFmtId="0" fontId="8" fillId="0" borderId="0" xfId="0" applyFont="1" applyAlignment="1" applyProtection="1">
      <alignment horizontal="left" indent="5"/>
    </xf>
    <xf numFmtId="0" fontId="2" fillId="6" borderId="1" xfId="0" applyFont="1" applyFill="1" applyBorder="1" applyAlignment="1" applyProtection="1">
      <alignment vertical="center"/>
    </xf>
    <xf numFmtId="2" fontId="0" fillId="2" borderId="0" xfId="0" applyNumberFormat="1" applyFill="1" applyAlignment="1" applyProtection="1">
      <alignment horizontal="left" indent="14"/>
    </xf>
    <xf numFmtId="0" fontId="4" fillId="4" borderId="1" xfId="0" applyFont="1" applyFill="1" applyBorder="1" applyAlignment="1" applyProtection="1">
      <alignment vertical="center" wrapText="1"/>
    </xf>
    <xf numFmtId="0" fontId="0" fillId="0" borderId="1" xfId="0" applyBorder="1" applyProtection="1"/>
    <xf numFmtId="0" fontId="0" fillId="0" borderId="0" xfId="0" applyFill="1" applyBorder="1" applyProtection="1"/>
    <xf numFmtId="0" fontId="4" fillId="4" borderId="1" xfId="0" applyFont="1" applyFill="1" applyBorder="1" applyAlignment="1" applyProtection="1">
      <alignment horizontal="center" vertical="center" wrapText="1"/>
    </xf>
    <xf numFmtId="0" fontId="4" fillId="4" borderId="1" xfId="0" applyFont="1" applyFill="1" applyBorder="1" applyAlignment="1" applyProtection="1">
      <alignment horizontal="left" vertical="center" wrapText="1"/>
    </xf>
    <xf numFmtId="0" fontId="0" fillId="2" borderId="0" xfId="0" applyFill="1" applyAlignment="1" applyProtection="1">
      <alignment vertical="center"/>
    </xf>
    <xf numFmtId="0" fontId="0" fillId="0" borderId="0" xfId="0" applyProtection="1"/>
    <xf numFmtId="0" fontId="0" fillId="2" borderId="0" xfId="0" applyFill="1" applyAlignment="1" applyProtection="1">
      <alignment horizontal="left" indent="19"/>
    </xf>
    <xf numFmtId="0" fontId="0" fillId="2" borderId="0" xfId="0" applyFill="1" applyBorder="1" applyProtection="1"/>
    <xf numFmtId="0" fontId="0" fillId="2" borderId="25" xfId="0" applyFill="1" applyBorder="1" applyProtection="1"/>
    <xf numFmtId="0" fontId="0" fillId="2" borderId="27" xfId="0" applyFill="1" applyBorder="1" applyProtection="1"/>
    <xf numFmtId="0" fontId="0" fillId="2" borderId="27" xfId="0" applyFill="1" applyBorder="1" applyAlignment="1" applyProtection="1">
      <alignment wrapText="1"/>
    </xf>
    <xf numFmtId="0" fontId="0" fillId="2" borderId="0" xfId="0" applyFill="1" applyBorder="1" applyAlignment="1" applyProtection="1">
      <alignment horizontal="center"/>
    </xf>
    <xf numFmtId="0" fontId="0" fillId="2" borderId="0" xfId="0" applyFill="1" applyBorder="1" applyAlignment="1" applyProtection="1"/>
    <xf numFmtId="0" fontId="4" fillId="4" borderId="2" xfId="0" applyFont="1" applyFill="1" applyBorder="1" applyAlignment="1" applyProtection="1">
      <alignment vertical="center" wrapText="1"/>
    </xf>
    <xf numFmtId="0" fontId="4" fillId="2" borderId="0" xfId="0" applyFont="1" applyFill="1" applyBorder="1" applyAlignment="1" applyProtection="1">
      <alignment vertical="center" wrapText="1"/>
    </xf>
    <xf numFmtId="0" fontId="5" fillId="2" borderId="0" xfId="0" applyFont="1" applyFill="1" applyProtection="1"/>
    <xf numFmtId="0" fontId="0" fillId="2" borderId="0" xfId="0" applyFill="1" applyBorder="1" applyAlignment="1" applyProtection="1">
      <alignment horizontal="right" wrapText="1"/>
    </xf>
    <xf numFmtId="0" fontId="2" fillId="7" borderId="1" xfId="0" applyFont="1" applyFill="1" applyBorder="1" applyAlignment="1" applyProtection="1">
      <alignment horizontal="center" wrapText="1"/>
    </xf>
    <xf numFmtId="0" fontId="0" fillId="8" borderId="13" xfId="0" applyFill="1" applyBorder="1" applyProtection="1"/>
    <xf numFmtId="0" fontId="0" fillId="8" borderId="14" xfId="0" applyFill="1" applyBorder="1" applyAlignment="1" applyProtection="1">
      <alignment horizontal="right" wrapText="1"/>
    </xf>
    <xf numFmtId="0" fontId="0" fillId="8" borderId="14" xfId="0" applyFill="1" applyBorder="1" applyProtection="1"/>
    <xf numFmtId="0" fontId="0" fillId="8" borderId="15" xfId="0" applyFill="1" applyBorder="1" applyProtection="1"/>
    <xf numFmtId="0" fontId="0" fillId="8" borderId="16" xfId="0" applyFill="1" applyBorder="1" applyAlignment="1" applyProtection="1">
      <alignment vertical="center"/>
    </xf>
    <xf numFmtId="0" fontId="0" fillId="8" borderId="0" xfId="0" applyFill="1" applyBorder="1" applyProtection="1"/>
    <xf numFmtId="0" fontId="11" fillId="4" borderId="1" xfId="0" applyFont="1" applyFill="1" applyBorder="1" applyAlignment="1" applyProtection="1">
      <alignment horizontal="center" vertical="center" wrapText="1"/>
    </xf>
    <xf numFmtId="0" fontId="11" fillId="4" borderId="17" xfId="0" applyFont="1" applyFill="1" applyBorder="1" applyAlignment="1" applyProtection="1">
      <alignment horizontal="center" vertical="center" wrapText="1"/>
    </xf>
    <xf numFmtId="0" fontId="12" fillId="2" borderId="0" xfId="0" applyFont="1" applyFill="1" applyProtection="1"/>
    <xf numFmtId="0" fontId="0" fillId="8" borderId="16" xfId="0" applyFill="1" applyBorder="1" applyProtection="1"/>
    <xf numFmtId="0" fontId="0" fillId="4" borderId="1" xfId="0" applyFill="1" applyBorder="1" applyAlignment="1" applyProtection="1">
      <alignment horizontal="center" wrapText="1"/>
    </xf>
    <xf numFmtId="44" fontId="1" fillId="4" borderId="1" xfId="1" applyFont="1" applyFill="1" applyBorder="1" applyProtection="1"/>
    <xf numFmtId="0" fontId="5" fillId="2" borderId="0" xfId="0" applyNumberFormat="1" applyFont="1" applyFill="1" applyProtection="1"/>
    <xf numFmtId="0" fontId="0" fillId="4" borderId="1" xfId="0" applyFill="1" applyBorder="1" applyAlignment="1" applyProtection="1">
      <alignment horizontal="center"/>
    </xf>
    <xf numFmtId="0" fontId="0" fillId="8" borderId="18" xfId="0" applyFill="1" applyBorder="1" applyProtection="1"/>
    <xf numFmtId="0" fontId="13" fillId="4" borderId="1" xfId="0" applyFont="1" applyFill="1" applyBorder="1" applyAlignment="1" applyProtection="1">
      <alignment wrapText="1"/>
    </xf>
    <xf numFmtId="0" fontId="13" fillId="4" borderId="1" xfId="0" applyFont="1" applyFill="1" applyBorder="1" applyAlignment="1" applyProtection="1">
      <alignment horizontal="center" wrapText="1"/>
    </xf>
    <xf numFmtId="44" fontId="13" fillId="0" borderId="1" xfId="1" applyFont="1" applyFill="1" applyBorder="1" applyAlignment="1" applyProtection="1">
      <alignment wrapText="1"/>
    </xf>
    <xf numFmtId="44" fontId="1" fillId="8" borderId="18" xfId="1" applyFont="1" applyFill="1" applyBorder="1" applyProtection="1"/>
    <xf numFmtId="0" fontId="0" fillId="8" borderId="19" xfId="0" applyFill="1" applyBorder="1" applyProtection="1"/>
    <xf numFmtId="0" fontId="0" fillId="8" borderId="20" xfId="0" applyFill="1" applyBorder="1" applyAlignment="1" applyProtection="1">
      <alignment horizontal="right" wrapText="1"/>
    </xf>
    <xf numFmtId="0" fontId="0" fillId="8" borderId="20" xfId="0" applyFill="1" applyBorder="1" applyProtection="1"/>
    <xf numFmtId="0" fontId="0" fillId="8" borderId="21" xfId="0" applyFill="1" applyBorder="1" applyProtection="1"/>
    <xf numFmtId="0" fontId="0" fillId="0" borderId="0" xfId="0" applyFill="1" applyBorder="1" applyAlignment="1" applyProtection="1">
      <alignment horizontal="right" wrapText="1"/>
    </xf>
    <xf numFmtId="0" fontId="2" fillId="7" borderId="23" xfId="0" applyFont="1" applyFill="1" applyBorder="1" applyAlignment="1" applyProtection="1">
      <alignment horizontal="center" wrapText="1"/>
    </xf>
    <xf numFmtId="0" fontId="0" fillId="10" borderId="13" xfId="0" applyFill="1" applyBorder="1" applyProtection="1"/>
    <xf numFmtId="0" fontId="3" fillId="10" borderId="14" xfId="0" applyFont="1" applyFill="1" applyBorder="1" applyProtection="1"/>
    <xf numFmtId="0" fontId="0" fillId="10" borderId="14" xfId="0" applyFill="1" applyBorder="1" applyProtection="1"/>
    <xf numFmtId="0" fontId="5" fillId="10" borderId="15" xfId="0" applyFont="1" applyFill="1" applyBorder="1" applyProtection="1"/>
    <xf numFmtId="0" fontId="0" fillId="10" borderId="16" xfId="0" applyFill="1" applyBorder="1" applyProtection="1"/>
    <xf numFmtId="0" fontId="11" fillId="4" borderId="1" xfId="0" applyFont="1" applyFill="1" applyBorder="1" applyAlignment="1" applyProtection="1">
      <alignment vertical="center"/>
    </xf>
    <xf numFmtId="0" fontId="11" fillId="4" borderId="1" xfId="0" applyFont="1" applyFill="1" applyBorder="1" applyAlignment="1" applyProtection="1">
      <alignment horizontal="center" vertical="center"/>
    </xf>
    <xf numFmtId="0" fontId="11" fillId="4" borderId="17" xfId="0" applyFont="1" applyFill="1" applyBorder="1" applyAlignment="1" applyProtection="1">
      <alignment horizontal="center" vertical="center"/>
    </xf>
    <xf numFmtId="44" fontId="13" fillId="4" borderId="1" xfId="1" applyFont="1" applyFill="1" applyBorder="1" applyProtection="1"/>
    <xf numFmtId="9" fontId="13" fillId="4" borderId="17" xfId="2" applyFont="1" applyFill="1" applyBorder="1" applyAlignment="1" applyProtection="1">
      <alignment horizontal="right"/>
    </xf>
    <xf numFmtId="0" fontId="13" fillId="4" borderId="1" xfId="0" applyFont="1" applyFill="1" applyBorder="1" applyAlignment="1" applyProtection="1">
      <alignment vertical="center" wrapText="1"/>
    </xf>
    <xf numFmtId="0" fontId="14" fillId="4" borderId="1" xfId="0" applyFont="1" applyFill="1" applyBorder="1" applyAlignment="1" applyProtection="1">
      <alignment horizontal="right" wrapText="1"/>
    </xf>
    <xf numFmtId="0" fontId="0" fillId="10" borderId="18" xfId="0" applyFill="1" applyBorder="1" applyProtection="1"/>
    <xf numFmtId="0" fontId="3" fillId="10" borderId="0" xfId="0" applyFont="1" applyFill="1" applyBorder="1" applyProtection="1"/>
    <xf numFmtId="0" fontId="0" fillId="10" borderId="0" xfId="0" applyFill="1" applyBorder="1" applyProtection="1"/>
    <xf numFmtId="0" fontId="15" fillId="10" borderId="0" xfId="0" applyFont="1" applyFill="1" applyBorder="1" applyProtection="1"/>
    <xf numFmtId="167" fontId="1" fillId="4" borderId="3" xfId="2" applyNumberFormat="1" applyFont="1" applyFill="1" applyBorder="1" applyAlignment="1" applyProtection="1">
      <alignment horizontal="center"/>
    </xf>
    <xf numFmtId="0" fontId="0" fillId="10" borderId="19" xfId="0" applyFill="1" applyBorder="1" applyProtection="1"/>
    <xf numFmtId="0" fontId="13" fillId="10" borderId="20" xfId="0" applyFont="1" applyFill="1" applyBorder="1" applyAlignment="1" applyProtection="1">
      <alignment wrapText="1"/>
    </xf>
    <xf numFmtId="0" fontId="0" fillId="10" borderId="20" xfId="0" applyFill="1" applyBorder="1" applyProtection="1"/>
    <xf numFmtId="9" fontId="13" fillId="10" borderId="20" xfId="2" applyFont="1" applyFill="1" applyBorder="1" applyAlignment="1" applyProtection="1">
      <alignment wrapText="1"/>
    </xf>
    <xf numFmtId="0" fontId="0" fillId="10" borderId="21" xfId="0" applyFill="1" applyBorder="1" applyProtection="1"/>
    <xf numFmtId="0" fontId="13" fillId="2" borderId="0" xfId="0" applyFont="1" applyFill="1" applyBorder="1" applyAlignment="1" applyProtection="1">
      <alignment wrapText="1"/>
    </xf>
    <xf numFmtId="0" fontId="0" fillId="2" borderId="0" xfId="0" applyFill="1" applyBorder="1" applyAlignment="1" applyProtection="1">
      <alignment vertical="center"/>
    </xf>
    <xf numFmtId="0" fontId="0" fillId="2" borderId="25" xfId="0" applyFill="1" applyBorder="1" applyAlignment="1" applyProtection="1"/>
    <xf numFmtId="0" fontId="0" fillId="2" borderId="27" xfId="0" applyFill="1" applyBorder="1" applyAlignment="1" applyProtection="1"/>
    <xf numFmtId="0" fontId="0" fillId="2" borderId="0" xfId="0" applyFill="1" applyBorder="1" applyAlignment="1" applyProtection="1">
      <alignment wrapText="1"/>
    </xf>
    <xf numFmtId="0" fontId="0" fillId="2" borderId="26" xfId="0" applyFill="1" applyBorder="1" applyProtection="1"/>
    <xf numFmtId="0" fontId="0" fillId="2" borderId="26" xfId="0" applyFill="1" applyBorder="1" applyAlignment="1" applyProtection="1"/>
    <xf numFmtId="0" fontId="10" fillId="4" borderId="23" xfId="0" applyFont="1" applyFill="1" applyBorder="1" applyAlignment="1" applyProtection="1">
      <alignment horizontal="center" vertical="center" wrapText="1"/>
    </xf>
    <xf numFmtId="0" fontId="4" fillId="4" borderId="23" xfId="0" applyFont="1" applyFill="1" applyBorder="1" applyAlignment="1" applyProtection="1">
      <alignment horizontal="center" vertical="center"/>
    </xf>
    <xf numFmtId="0" fontId="4" fillId="4" borderId="23" xfId="0" applyFont="1" applyFill="1" applyBorder="1" applyAlignment="1" applyProtection="1">
      <alignment horizontal="center" vertical="center" wrapText="1"/>
    </xf>
    <xf numFmtId="0" fontId="4" fillId="2" borderId="0" xfId="0" applyFont="1" applyFill="1" applyProtection="1"/>
    <xf numFmtId="0" fontId="0" fillId="2" borderId="1" xfId="0" applyFill="1" applyBorder="1" applyProtection="1">
      <protection locked="0"/>
    </xf>
    <xf numFmtId="165" fontId="0" fillId="2" borderId="1" xfId="0" applyNumberFormat="1" applyFill="1" applyBorder="1" applyAlignment="1" applyProtection="1">
      <alignment horizontal="left"/>
      <protection locked="0"/>
    </xf>
    <xf numFmtId="0" fontId="0" fillId="2" borderId="0" xfId="0" applyFill="1" applyProtection="1">
      <protection locked="0"/>
    </xf>
    <xf numFmtId="44" fontId="1" fillId="0" borderId="1" xfId="1" applyFont="1" applyBorder="1" applyProtection="1">
      <protection locked="0"/>
    </xf>
    <xf numFmtId="0" fontId="0" fillId="8" borderId="0" xfId="0" applyFill="1" applyBorder="1" applyProtection="1">
      <protection locked="0"/>
    </xf>
    <xf numFmtId="0" fontId="29" fillId="11" borderId="1" xfId="0" applyFont="1" applyFill="1" applyBorder="1" applyAlignment="1" applyProtection="1">
      <alignment horizontal="center" vertical="top" wrapText="1"/>
      <protection locked="0"/>
    </xf>
    <xf numFmtId="0" fontId="12" fillId="11" borderId="1" xfId="0" applyFont="1" applyFill="1" applyBorder="1" applyProtection="1">
      <protection locked="0"/>
    </xf>
    <xf numFmtId="0" fontId="0" fillId="11" borderId="1" xfId="0" applyFill="1" applyBorder="1" applyProtection="1">
      <protection locked="0"/>
    </xf>
    <xf numFmtId="0" fontId="16" fillId="11" borderId="1" xfId="0" applyFont="1" applyFill="1" applyBorder="1" applyAlignment="1" applyProtection="1">
      <alignment vertical="top" wrapText="1"/>
      <protection locked="0"/>
    </xf>
    <xf numFmtId="44" fontId="1" fillId="0" borderId="23" xfId="1" applyFont="1" applyBorder="1" applyProtection="1">
      <protection locked="0"/>
    </xf>
    <xf numFmtId="14" fontId="29" fillId="11" borderId="1" xfId="0" applyNumberFormat="1" applyFont="1" applyFill="1" applyBorder="1" applyAlignment="1" applyProtection="1">
      <alignment horizontal="center" vertical="top" wrapText="1"/>
      <protection locked="0"/>
    </xf>
    <xf numFmtId="14" fontId="12" fillId="11" borderId="1" xfId="0" applyNumberFormat="1" applyFont="1" applyFill="1" applyBorder="1" applyProtection="1">
      <protection locked="0"/>
    </xf>
    <xf numFmtId="49" fontId="16" fillId="11" borderId="1" xfId="0" applyNumberFormat="1" applyFont="1" applyFill="1" applyBorder="1" applyAlignment="1" applyProtection="1">
      <alignment vertical="top" wrapText="1"/>
      <protection locked="0"/>
    </xf>
    <xf numFmtId="49" fontId="0" fillId="11" borderId="1" xfId="0" applyNumberFormat="1" applyFill="1" applyBorder="1" applyProtection="1">
      <protection locked="0"/>
    </xf>
    <xf numFmtId="14" fontId="0" fillId="17" borderId="1" xfId="0" applyNumberFormat="1" applyFill="1" applyBorder="1" applyProtection="1">
      <protection locked="0"/>
    </xf>
    <xf numFmtId="44" fontId="13" fillId="17" borderId="1" xfId="1" applyFont="1" applyFill="1" applyBorder="1" applyProtection="1">
      <protection locked="0"/>
    </xf>
    <xf numFmtId="0" fontId="3" fillId="0" borderId="0" xfId="0" applyFont="1" applyFill="1" applyProtection="1"/>
    <xf numFmtId="44" fontId="13" fillId="0" borderId="1" xfId="1" applyFont="1" applyFill="1" applyBorder="1" applyProtection="1">
      <protection locked="0"/>
    </xf>
    <xf numFmtId="0" fontId="0" fillId="17" borderId="1" xfId="0" applyFill="1" applyBorder="1" applyAlignment="1" applyProtection="1">
      <protection locked="0"/>
    </xf>
    <xf numFmtId="0" fontId="0" fillId="17" borderId="1" xfId="0" applyFill="1" applyBorder="1" applyAlignment="1" applyProtection="1">
      <alignment vertical="center" wrapText="1"/>
      <protection locked="0"/>
    </xf>
    <xf numFmtId="44" fontId="1" fillId="17" borderId="1" xfId="1" applyFont="1" applyFill="1" applyBorder="1" applyAlignment="1" applyProtection="1">
      <alignment horizontal="right" wrapText="1"/>
      <protection locked="0"/>
    </xf>
    <xf numFmtId="44" fontId="1" fillId="17" borderId="17" xfId="1" applyFont="1" applyFill="1" applyBorder="1" applyProtection="1">
      <protection locked="0"/>
    </xf>
    <xf numFmtId="49" fontId="0" fillId="17" borderId="1" xfId="0" applyNumberFormat="1" applyFill="1" applyBorder="1" applyProtection="1">
      <protection locked="0"/>
    </xf>
    <xf numFmtId="0" fontId="0" fillId="17" borderId="3" xfId="0" applyFill="1" applyBorder="1" applyProtection="1">
      <protection locked="0"/>
    </xf>
    <xf numFmtId="0" fontId="0" fillId="17" borderId="1" xfId="0" applyFill="1" applyBorder="1" applyProtection="1">
      <protection locked="0"/>
    </xf>
    <xf numFmtId="0" fontId="0" fillId="17" borderId="1" xfId="0" applyFill="1" applyBorder="1" applyAlignment="1" applyProtection="1">
      <alignment horizontal="center"/>
      <protection locked="0"/>
    </xf>
    <xf numFmtId="168" fontId="0" fillId="17" borderId="1" xfId="0" applyNumberFormat="1" applyFill="1" applyBorder="1" applyProtection="1">
      <protection locked="0"/>
    </xf>
    <xf numFmtId="169" fontId="0" fillId="17" borderId="1" xfId="0" applyNumberFormat="1" applyFill="1" applyBorder="1" applyProtection="1">
      <protection locked="0"/>
    </xf>
    <xf numFmtId="0" fontId="19" fillId="17" borderId="1" xfId="3" applyFill="1" applyBorder="1" applyAlignment="1" applyProtection="1">
      <protection locked="0"/>
    </xf>
    <xf numFmtId="0" fontId="27" fillId="17" borderId="1" xfId="3" applyFont="1" applyFill="1" applyBorder="1" applyAlignment="1" applyProtection="1">
      <protection locked="0"/>
    </xf>
    <xf numFmtId="44" fontId="0" fillId="17" borderId="1" xfId="1" applyFont="1" applyFill="1" applyBorder="1" applyProtection="1">
      <protection locked="0"/>
    </xf>
    <xf numFmtId="170" fontId="16" fillId="11" borderId="1" xfId="0" applyNumberFormat="1" applyFont="1" applyFill="1" applyBorder="1" applyAlignment="1" applyProtection="1">
      <alignment vertical="top" wrapText="1"/>
      <protection locked="0"/>
    </xf>
    <xf numFmtId="170" fontId="0" fillId="11" borderId="1" xfId="0" applyNumberFormat="1" applyFill="1" applyBorder="1" applyProtection="1">
      <protection locked="0"/>
    </xf>
    <xf numFmtId="167" fontId="16" fillId="11" borderId="1" xfId="0" applyNumberFormat="1" applyFont="1" applyFill="1" applyBorder="1" applyAlignment="1" applyProtection="1">
      <alignment vertical="top" wrapText="1"/>
      <protection locked="0"/>
    </xf>
    <xf numFmtId="167" fontId="1" fillId="4" borderId="1" xfId="2" applyNumberFormat="1" applyFont="1" applyFill="1" applyBorder="1" applyAlignment="1" applyProtection="1">
      <alignment horizontal="right" wrapText="1"/>
    </xf>
    <xf numFmtId="167" fontId="0" fillId="4" borderId="17" xfId="0" applyNumberFormat="1" applyFill="1" applyBorder="1" applyProtection="1"/>
    <xf numFmtId="167" fontId="1" fillId="9" borderId="1" xfId="2" applyNumberFormat="1" applyFont="1" applyFill="1" applyBorder="1" applyProtection="1"/>
    <xf numFmtId="167" fontId="1" fillId="4" borderId="1" xfId="2" applyNumberFormat="1" applyFont="1" applyFill="1" applyBorder="1" applyProtection="1"/>
    <xf numFmtId="167" fontId="1" fillId="0" borderId="1" xfId="2" applyNumberFormat="1" applyFont="1" applyFill="1" applyBorder="1" applyProtection="1"/>
    <xf numFmtId="0" fontId="0" fillId="17"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0" borderId="4" xfId="0" applyFill="1" applyBorder="1" applyAlignment="1" applyProtection="1">
      <alignment horizontal="left" wrapText="1"/>
    </xf>
    <xf numFmtId="0" fontId="0" fillId="0" borderId="0" xfId="0" applyFill="1" applyAlignment="1" applyProtection="1">
      <alignment horizontal="left" wrapText="1"/>
    </xf>
    <xf numFmtId="0" fontId="6" fillId="5" borderId="4" xfId="0" applyFont="1" applyFill="1" applyBorder="1" applyAlignment="1" applyProtection="1">
      <alignment horizontal="center"/>
    </xf>
    <xf numFmtId="0" fontId="6" fillId="5" borderId="0" xfId="0" applyFont="1" applyFill="1" applyBorder="1" applyAlignment="1" applyProtection="1">
      <alignment horizontal="center"/>
    </xf>
    <xf numFmtId="0" fontId="11" fillId="4" borderId="2" xfId="0" applyFont="1" applyFill="1" applyBorder="1" applyAlignment="1" applyProtection="1">
      <alignment horizontal="center" wrapText="1"/>
    </xf>
    <xf numFmtId="0" fontId="11" fillId="4" borderId="11" xfId="0" applyFont="1" applyFill="1" applyBorder="1" applyAlignment="1" applyProtection="1">
      <alignment horizontal="center" wrapText="1"/>
    </xf>
    <xf numFmtId="0" fontId="11" fillId="4" borderId="3" xfId="0" applyFont="1" applyFill="1" applyBorder="1" applyAlignment="1" applyProtection="1">
      <alignment horizontal="center" wrapText="1"/>
    </xf>
    <xf numFmtId="0" fontId="4" fillId="4" borderId="1" xfId="0" applyFont="1" applyFill="1" applyBorder="1" applyAlignment="1" applyProtection="1">
      <alignment horizontal="center" vertical="center" wrapText="1"/>
    </xf>
    <xf numFmtId="0" fontId="0" fillId="17" borderId="5" xfId="0" applyFill="1" applyBorder="1" applyAlignment="1" applyProtection="1">
      <alignment horizontal="right"/>
      <protection locked="0"/>
    </xf>
    <xf numFmtId="0" fontId="0" fillId="2" borderId="7" xfId="0" applyFill="1" applyBorder="1" applyAlignment="1" applyProtection="1">
      <alignment horizontal="right"/>
      <protection locked="0"/>
    </xf>
    <xf numFmtId="0" fontId="0" fillId="2" borderId="4" xfId="0" applyFill="1" applyBorder="1" applyAlignment="1" applyProtection="1">
      <alignment horizontal="right"/>
      <protection locked="0"/>
    </xf>
    <xf numFmtId="0" fontId="0" fillId="2" borderId="12" xfId="0" applyFill="1" applyBorder="1" applyAlignment="1" applyProtection="1">
      <alignment horizontal="right"/>
      <protection locked="0"/>
    </xf>
    <xf numFmtId="0" fontId="0" fillId="2" borderId="8" xfId="0" applyFill="1" applyBorder="1" applyAlignment="1" applyProtection="1">
      <alignment horizontal="right"/>
      <protection locked="0"/>
    </xf>
    <xf numFmtId="0" fontId="0" fillId="2" borderId="10" xfId="0" applyFill="1" applyBorder="1" applyAlignment="1" applyProtection="1">
      <alignment horizontal="right"/>
      <protection locked="0"/>
    </xf>
    <xf numFmtId="0" fontId="10" fillId="4" borderId="24" xfId="0" applyFont="1" applyFill="1" applyBorder="1" applyAlignment="1" applyProtection="1">
      <alignment horizontal="center" vertical="center" wrapText="1"/>
    </xf>
    <xf numFmtId="0" fontId="10" fillId="4" borderId="23" xfId="0" applyFont="1" applyFill="1" applyBorder="1" applyAlignment="1" applyProtection="1">
      <alignment horizontal="center" vertical="center" wrapText="1"/>
    </xf>
    <xf numFmtId="0" fontId="10" fillId="4" borderId="2" xfId="0" applyFont="1" applyFill="1" applyBorder="1" applyAlignment="1" applyProtection="1">
      <alignment horizontal="center" vertical="center" wrapText="1"/>
    </xf>
    <xf numFmtId="0" fontId="10" fillId="4" borderId="3" xfId="0" applyFont="1" applyFill="1" applyBorder="1" applyAlignment="1" applyProtection="1">
      <alignment horizontal="center" vertical="center" wrapText="1"/>
    </xf>
    <xf numFmtId="0" fontId="9" fillId="0" borderId="0" xfId="0" applyFont="1" applyAlignment="1" applyProtection="1">
      <alignment horizontal="center" wrapText="1"/>
    </xf>
    <xf numFmtId="0" fontId="4" fillId="2" borderId="0" xfId="0" applyFont="1" applyFill="1" applyBorder="1" applyAlignment="1" applyProtection="1">
      <alignment horizontal="right" wrapText="1"/>
    </xf>
    <xf numFmtId="0" fontId="4" fillId="4" borderId="1" xfId="0" applyFont="1" applyFill="1" applyBorder="1" applyAlignment="1" applyProtection="1">
      <alignment horizontal="center" vertical="top" wrapText="1"/>
    </xf>
    <xf numFmtId="0" fontId="11" fillId="4" borderId="1" xfId="0" applyFont="1" applyFill="1" applyBorder="1" applyAlignment="1" applyProtection="1">
      <alignment horizontal="center" wrapText="1"/>
    </xf>
    <xf numFmtId="0" fontId="0" fillId="17" borderId="2" xfId="0" applyFill="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4" fillId="4" borderId="1" xfId="0" applyFont="1" applyFill="1" applyBorder="1" applyAlignment="1" applyProtection="1">
      <alignment horizontal="left" vertical="center"/>
    </xf>
    <xf numFmtId="0" fontId="0" fillId="17" borderId="5" xfId="0" applyFill="1" applyBorder="1" applyAlignment="1" applyProtection="1">
      <alignment horizontal="left" vertical="center"/>
      <protection locked="0"/>
    </xf>
    <xf numFmtId="0" fontId="0" fillId="2" borderId="6" xfId="0" applyFill="1" applyBorder="1" applyAlignment="1" applyProtection="1">
      <alignment horizontal="left" vertical="center"/>
      <protection locked="0"/>
    </xf>
    <xf numFmtId="0" fontId="0" fillId="2" borderId="7" xfId="0" applyFill="1" applyBorder="1" applyAlignment="1" applyProtection="1">
      <alignment horizontal="left" vertical="center"/>
      <protection locked="0"/>
    </xf>
    <xf numFmtId="0" fontId="0" fillId="2" borderId="8" xfId="0" applyFill="1" applyBorder="1" applyAlignment="1" applyProtection="1">
      <alignment horizontal="left" vertical="center"/>
      <protection locked="0"/>
    </xf>
    <xf numFmtId="0" fontId="0" fillId="2" borderId="9" xfId="0" applyFill="1" applyBorder="1" applyAlignment="1" applyProtection="1">
      <alignment horizontal="left" vertical="center"/>
      <protection locked="0"/>
    </xf>
    <xf numFmtId="0" fontId="0" fillId="2" borderId="10" xfId="0" applyFill="1" applyBorder="1" applyAlignment="1" applyProtection="1">
      <alignment horizontal="left" vertical="center"/>
      <protection locked="0"/>
    </xf>
    <xf numFmtId="0" fontId="6" fillId="7" borderId="4" xfId="0" applyFont="1" applyFill="1" applyBorder="1" applyAlignment="1" applyProtection="1">
      <alignment horizontal="center"/>
    </xf>
    <xf numFmtId="0" fontId="6" fillId="7" borderId="0" xfId="0" applyFont="1" applyFill="1" applyBorder="1" applyAlignment="1" applyProtection="1">
      <alignment horizontal="center"/>
    </xf>
    <xf numFmtId="0" fontId="0" fillId="2" borderId="0" xfId="0" applyFill="1" applyAlignment="1" applyProtection="1">
      <alignment horizontal="left" vertical="top" wrapText="1"/>
    </xf>
    <xf numFmtId="0" fontId="4" fillId="4" borderId="24" xfId="0" applyFont="1" applyFill="1" applyBorder="1" applyAlignment="1" applyProtection="1">
      <alignment horizontal="center" vertical="center" wrapText="1"/>
    </xf>
    <xf numFmtId="0" fontId="4" fillId="4" borderId="23" xfId="0" applyFont="1" applyFill="1" applyBorder="1" applyAlignment="1" applyProtection="1">
      <alignment horizontal="center" vertical="center" wrapText="1"/>
    </xf>
    <xf numFmtId="0" fontId="0" fillId="2" borderId="5" xfId="0" applyFill="1" applyBorder="1" applyAlignment="1" applyProtection="1">
      <alignment horizontal="right" wrapText="1"/>
      <protection locked="0"/>
    </xf>
    <xf numFmtId="0" fontId="0" fillId="2" borderId="7" xfId="0" applyFill="1" applyBorder="1" applyAlignment="1" applyProtection="1">
      <alignment horizontal="right" wrapText="1"/>
      <protection locked="0"/>
    </xf>
    <xf numFmtId="0" fontId="0" fillId="2" borderId="4" xfId="0" applyFill="1" applyBorder="1" applyAlignment="1" applyProtection="1">
      <alignment horizontal="right" wrapText="1"/>
      <protection locked="0"/>
    </xf>
    <xf numFmtId="0" fontId="0" fillId="2" borderId="12" xfId="0" applyFill="1" applyBorder="1" applyAlignment="1" applyProtection="1">
      <alignment horizontal="right" wrapText="1"/>
      <protection locked="0"/>
    </xf>
    <xf numFmtId="0" fontId="0" fillId="2" borderId="8" xfId="0" applyFill="1" applyBorder="1" applyAlignment="1" applyProtection="1">
      <alignment horizontal="right" wrapText="1"/>
      <protection locked="0"/>
    </xf>
    <xf numFmtId="0" fontId="0" fillId="2" borderId="10" xfId="0" applyFill="1" applyBorder="1" applyAlignment="1" applyProtection="1">
      <alignment horizontal="right" wrapText="1"/>
      <protection locked="0"/>
    </xf>
    <xf numFmtId="0" fontId="10" fillId="4" borderId="1" xfId="0" applyFont="1" applyFill="1" applyBorder="1" applyAlignment="1" applyProtection="1">
      <alignment horizontal="center" vertical="center" wrapText="1"/>
    </xf>
    <xf numFmtId="0" fontId="11" fillId="4" borderId="2" xfId="0" applyFont="1" applyFill="1" applyBorder="1" applyAlignment="1" applyProtection="1">
      <alignment horizontal="center"/>
    </xf>
    <xf numFmtId="0" fontId="11" fillId="4" borderId="11" xfId="0" applyFont="1" applyFill="1" applyBorder="1" applyAlignment="1" applyProtection="1">
      <alignment horizontal="center"/>
    </xf>
    <xf numFmtId="0" fontId="11" fillId="4" borderId="22" xfId="0" applyFont="1" applyFill="1" applyBorder="1" applyAlignment="1" applyProtection="1">
      <alignment horizontal="center"/>
    </xf>
    <xf numFmtId="0" fontId="0" fillId="4" borderId="2" xfId="0" applyFill="1" applyBorder="1" applyAlignment="1" applyProtection="1">
      <alignment horizontal="center" wrapText="1"/>
    </xf>
    <xf numFmtId="0" fontId="0" fillId="4" borderId="3" xfId="0" applyFill="1" applyBorder="1" applyAlignment="1" applyProtection="1">
      <alignment horizontal="center" wrapText="1"/>
    </xf>
    <xf numFmtId="0" fontId="6" fillId="5" borderId="2" xfId="0" applyFont="1" applyFill="1" applyBorder="1" applyAlignment="1">
      <alignment horizontal="center"/>
    </xf>
    <xf numFmtId="0" fontId="6" fillId="5" borderId="11" xfId="0" applyFont="1" applyFill="1" applyBorder="1" applyAlignment="1">
      <alignment horizontal="center"/>
    </xf>
    <xf numFmtId="0" fontId="6" fillId="5" borderId="3" xfId="0" applyFont="1" applyFill="1" applyBorder="1" applyAlignment="1">
      <alignment horizontal="center"/>
    </xf>
    <xf numFmtId="0" fontId="4" fillId="14" borderId="1" xfId="0" applyFont="1" applyFill="1" applyBorder="1" applyAlignment="1">
      <alignment horizontal="left" vertical="center"/>
    </xf>
    <xf numFmtId="0" fontId="0" fillId="2" borderId="5" xfId="0" applyFill="1" applyBorder="1" applyAlignment="1">
      <alignment horizontal="left" vertical="center"/>
    </xf>
    <xf numFmtId="0" fontId="0" fillId="2" borderId="6" xfId="0" applyFill="1" applyBorder="1" applyAlignment="1">
      <alignment horizontal="left" vertical="center"/>
    </xf>
    <xf numFmtId="0" fontId="0" fillId="2" borderId="7" xfId="0" applyFill="1" applyBorder="1" applyAlignment="1">
      <alignment horizontal="left" vertical="center"/>
    </xf>
    <xf numFmtId="0" fontId="0" fillId="2" borderId="8" xfId="0" applyFill="1" applyBorder="1" applyAlignment="1">
      <alignment horizontal="left" vertical="center"/>
    </xf>
    <xf numFmtId="0" fontId="0" fillId="2" borderId="9" xfId="0" applyFill="1" applyBorder="1" applyAlignment="1">
      <alignment horizontal="left" vertical="center"/>
    </xf>
    <xf numFmtId="0" fontId="0" fillId="2" borderId="10" xfId="0" applyFill="1" applyBorder="1" applyAlignment="1">
      <alignment horizontal="left" vertical="center"/>
    </xf>
    <xf numFmtId="0" fontId="20" fillId="0" borderId="5" xfId="0" applyFont="1" applyFill="1" applyBorder="1" applyAlignment="1">
      <alignment horizontal="left" vertical="top" wrapText="1"/>
    </xf>
    <xf numFmtId="0" fontId="20" fillId="0" borderId="7" xfId="0" applyFont="1" applyFill="1" applyBorder="1" applyAlignment="1">
      <alignment horizontal="left" vertical="top"/>
    </xf>
    <xf numFmtId="0" fontId="20" fillId="0" borderId="4" xfId="0" applyFont="1" applyFill="1" applyBorder="1" applyAlignment="1">
      <alignment horizontal="left" vertical="top" wrapText="1"/>
    </xf>
    <xf numFmtId="0" fontId="20" fillId="0" borderId="12" xfId="0" applyFont="1" applyFill="1" applyBorder="1" applyAlignment="1">
      <alignment horizontal="left" vertical="top"/>
    </xf>
    <xf numFmtId="0" fontId="20" fillId="0" borderId="4" xfId="0" applyFont="1" applyFill="1" applyBorder="1" applyAlignment="1">
      <alignment horizontal="left" vertical="top"/>
    </xf>
    <xf numFmtId="0" fontId="20" fillId="0" borderId="8" xfId="0" applyFont="1" applyFill="1" applyBorder="1" applyAlignment="1">
      <alignment horizontal="left" vertical="top"/>
    </xf>
    <xf numFmtId="0" fontId="20" fillId="0" borderId="10" xfId="0" applyFont="1" applyFill="1" applyBorder="1" applyAlignment="1">
      <alignment horizontal="left" vertical="top"/>
    </xf>
    <xf numFmtId="0" fontId="6" fillId="7" borderId="2" xfId="0" applyFont="1" applyFill="1" applyBorder="1" applyAlignment="1">
      <alignment horizontal="center"/>
    </xf>
    <xf numFmtId="0" fontId="6" fillId="7" borderId="11" xfId="0" applyFont="1" applyFill="1" applyBorder="1" applyAlignment="1">
      <alignment horizontal="center"/>
    </xf>
    <xf numFmtId="0" fontId="0" fillId="2" borderId="5" xfId="0" applyFill="1" applyBorder="1" applyAlignment="1">
      <alignment horizontal="left" vertical="top" wrapText="1"/>
    </xf>
    <xf numFmtId="0" fontId="0" fillId="2" borderId="7" xfId="0" applyFill="1" applyBorder="1" applyAlignment="1">
      <alignment horizontal="left" vertical="top" wrapText="1"/>
    </xf>
    <xf numFmtId="0" fontId="0" fillId="2" borderId="4" xfId="0" applyFill="1" applyBorder="1" applyAlignment="1">
      <alignment horizontal="left" vertical="top" wrapText="1"/>
    </xf>
    <xf numFmtId="0" fontId="0" fillId="2" borderId="12" xfId="0" applyFill="1" applyBorder="1" applyAlignment="1">
      <alignment horizontal="left" vertical="top" wrapText="1"/>
    </xf>
    <xf numFmtId="0" fontId="0" fillId="2" borderId="8" xfId="0" applyFill="1" applyBorder="1" applyAlignment="1">
      <alignment horizontal="left" vertical="top" wrapText="1"/>
    </xf>
    <xf numFmtId="0" fontId="0" fillId="2" borderId="10" xfId="0" applyFill="1" applyBorder="1" applyAlignment="1">
      <alignment horizontal="left" vertical="top" wrapText="1"/>
    </xf>
    <xf numFmtId="0" fontId="0" fillId="2" borderId="7" xfId="0" applyFill="1" applyBorder="1" applyAlignment="1">
      <alignment horizontal="left" vertical="top"/>
    </xf>
    <xf numFmtId="0" fontId="0" fillId="2" borderId="4" xfId="0" applyFill="1" applyBorder="1" applyAlignment="1">
      <alignment horizontal="left" vertical="top"/>
    </xf>
    <xf numFmtId="0" fontId="0" fillId="2" borderId="12" xfId="0" applyFill="1" applyBorder="1" applyAlignment="1">
      <alignment horizontal="left" vertical="top"/>
    </xf>
    <xf numFmtId="0" fontId="0" fillId="2" borderId="8" xfId="0" applyFill="1" applyBorder="1" applyAlignment="1">
      <alignment horizontal="left" vertical="top"/>
    </xf>
    <xf numFmtId="0" fontId="0" fillId="2" borderId="10" xfId="0" applyFill="1" applyBorder="1" applyAlignment="1">
      <alignment horizontal="left" vertical="top"/>
    </xf>
    <xf numFmtId="0" fontId="10" fillId="4" borderId="1" xfId="0" applyFont="1" applyFill="1" applyBorder="1" applyAlignment="1">
      <alignment horizontal="center" vertical="center" wrapText="1"/>
    </xf>
    <xf numFmtId="0" fontId="0" fillId="2" borderId="5" xfId="0" applyFill="1" applyBorder="1" applyAlignment="1">
      <alignment horizontal="left" vertical="center" wrapText="1"/>
    </xf>
    <xf numFmtId="0" fontId="0" fillId="2" borderId="7" xfId="0" applyFill="1" applyBorder="1" applyAlignment="1">
      <alignment horizontal="left" vertical="center" wrapText="1"/>
    </xf>
    <xf numFmtId="0" fontId="0" fillId="2" borderId="4" xfId="0" applyFill="1" applyBorder="1" applyAlignment="1">
      <alignment horizontal="left" vertical="center" wrapText="1"/>
    </xf>
    <xf numFmtId="0" fontId="0" fillId="2" borderId="12" xfId="0" applyFill="1" applyBorder="1" applyAlignment="1">
      <alignment horizontal="left" vertical="center" wrapText="1"/>
    </xf>
    <xf numFmtId="0" fontId="0" fillId="2" borderId="8" xfId="0" applyFill="1" applyBorder="1" applyAlignment="1">
      <alignment horizontal="left" vertical="center" wrapText="1"/>
    </xf>
    <xf numFmtId="0" fontId="0" fillId="2" borderId="10" xfId="0" applyFill="1" applyBorder="1" applyAlignment="1">
      <alignment horizontal="left" vertical="center" wrapText="1"/>
    </xf>
    <xf numFmtId="0" fontId="4"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6" xfId="0" applyFont="1" applyFill="1" applyBorder="1" applyAlignment="1">
      <alignment horizontal="center" vertical="center"/>
    </xf>
    <xf numFmtId="0" fontId="4" fillId="16" borderId="7" xfId="0" applyFont="1" applyFill="1" applyBorder="1" applyAlignment="1">
      <alignment horizontal="center" vertical="center"/>
    </xf>
    <xf numFmtId="0" fontId="4" fillId="16" borderId="8" xfId="0" applyFont="1" applyFill="1" applyBorder="1" applyAlignment="1">
      <alignment horizontal="center" vertical="center"/>
    </xf>
    <xf numFmtId="0" fontId="4" fillId="16" borderId="9" xfId="0" applyFont="1" applyFill="1" applyBorder="1" applyAlignment="1">
      <alignment horizontal="center" vertical="center"/>
    </xf>
    <xf numFmtId="0" fontId="4" fillId="16" borderId="10" xfId="0" applyFont="1" applyFill="1" applyBorder="1" applyAlignment="1">
      <alignment horizontal="center" vertical="center"/>
    </xf>
    <xf numFmtId="0" fontId="4" fillId="15" borderId="5" xfId="0" applyFont="1" applyFill="1" applyBorder="1" applyAlignment="1">
      <alignment horizontal="center" vertical="center"/>
    </xf>
    <xf numFmtId="0" fontId="4" fillId="15" borderId="6"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9" xfId="0" applyFont="1" applyFill="1" applyBorder="1" applyAlignment="1">
      <alignment horizontal="center" vertical="center"/>
    </xf>
    <xf numFmtId="0" fontId="4" fillId="15" borderId="10" xfId="0" applyFont="1" applyFill="1" applyBorder="1" applyAlignment="1">
      <alignment horizontal="center" vertical="center"/>
    </xf>
    <xf numFmtId="0" fontId="0" fillId="2" borderId="6" xfId="0" applyFill="1" applyBorder="1" applyAlignment="1">
      <alignment horizontal="left" vertical="top"/>
    </xf>
    <xf numFmtId="0" fontId="0" fillId="2" borderId="0" xfId="0" applyFill="1" applyBorder="1" applyAlignment="1">
      <alignment horizontal="left" vertical="top"/>
    </xf>
    <xf numFmtId="0" fontId="0" fillId="2" borderId="9" xfId="0" applyFill="1" applyBorder="1" applyAlignment="1">
      <alignment horizontal="left" vertical="top"/>
    </xf>
    <xf numFmtId="0" fontId="0" fillId="2" borderId="1" xfId="0" applyFill="1" applyBorder="1" applyAlignment="1">
      <alignment horizontal="left" wrapText="1"/>
    </xf>
    <xf numFmtId="0" fontId="11" fillId="4" borderId="2" xfId="0" applyFont="1" applyFill="1" applyBorder="1" applyAlignment="1">
      <alignment horizontal="center" wrapText="1"/>
    </xf>
    <xf numFmtId="0" fontId="11" fillId="4" borderId="11" xfId="0" applyFont="1" applyFill="1" applyBorder="1" applyAlignment="1">
      <alignment horizontal="center" wrapText="1"/>
    </xf>
    <xf numFmtId="0" fontId="11" fillId="4" borderId="3" xfId="0" applyFont="1" applyFill="1" applyBorder="1" applyAlignment="1">
      <alignment horizontal="center" wrapText="1"/>
    </xf>
    <xf numFmtId="0" fontId="6" fillId="7" borderId="2" xfId="0" applyFont="1" applyFill="1" applyBorder="1" applyAlignment="1">
      <alignment horizontal="center" vertical="center"/>
    </xf>
    <xf numFmtId="0" fontId="6" fillId="7" borderId="11" xfId="0" applyFont="1" applyFill="1" applyBorder="1" applyAlignment="1">
      <alignment horizontal="center" vertical="center"/>
    </xf>
    <xf numFmtId="0" fontId="11" fillId="4" borderId="1" xfId="0" applyFont="1" applyFill="1" applyBorder="1" applyAlignment="1">
      <alignment horizontal="center"/>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0" fontId="0" fillId="2" borderId="2" xfId="0" applyFill="1" applyBorder="1" applyAlignment="1">
      <alignment horizontal="left" vertical="top"/>
    </xf>
    <xf numFmtId="0" fontId="0" fillId="2" borderId="11" xfId="0" applyFill="1" applyBorder="1" applyAlignment="1">
      <alignment horizontal="left" vertical="top"/>
    </xf>
    <xf numFmtId="0" fontId="0" fillId="2" borderId="3" xfId="0" applyFill="1" applyBorder="1" applyAlignment="1">
      <alignment horizontal="left" vertical="top"/>
    </xf>
    <xf numFmtId="0" fontId="4" fillId="4" borderId="2" xfId="0" applyFont="1" applyFill="1" applyBorder="1" applyAlignment="1">
      <alignment horizontal="center" vertical="center"/>
    </xf>
    <xf numFmtId="0" fontId="4" fillId="4" borderId="11" xfId="0" applyFont="1" applyFill="1" applyBorder="1" applyAlignment="1">
      <alignment horizontal="center" vertical="center"/>
    </xf>
    <xf numFmtId="0" fontId="4" fillId="4" borderId="3" xfId="0" applyFont="1" applyFill="1" applyBorder="1" applyAlignment="1">
      <alignment horizontal="center" vertical="center"/>
    </xf>
    <xf numFmtId="0" fontId="0" fillId="2" borderId="6" xfId="0" applyFill="1" applyBorder="1" applyAlignment="1">
      <alignment horizontal="left" vertical="top" wrapText="1"/>
    </xf>
    <xf numFmtId="0" fontId="0" fillId="2" borderId="0" xfId="0" applyFill="1" applyBorder="1" applyAlignment="1">
      <alignment horizontal="left" vertical="top" wrapText="1"/>
    </xf>
    <xf numFmtId="0" fontId="0" fillId="2" borderId="9" xfId="0" applyFill="1" applyBorder="1" applyAlignment="1">
      <alignment horizontal="left" vertical="top" wrapText="1"/>
    </xf>
    <xf numFmtId="0" fontId="4" fillId="4" borderId="2"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3" xfId="0" applyFont="1" applyFill="1" applyBorder="1" applyAlignment="1">
      <alignment horizontal="center" vertical="center" wrapText="1"/>
    </xf>
  </cellXfs>
  <cellStyles count="4">
    <cellStyle name="Hipervínculo" xfId="3" builtinId="8"/>
    <cellStyle name="Moneda" xfId="1" builtinId="4"/>
    <cellStyle name="Normal" xfId="0" builtinId="0"/>
    <cellStyle name="Porcentual" xfId="2" builtinId="5"/>
  </cellStyles>
  <dxfs count="47">
    <dxf>
      <fill>
        <patternFill>
          <bgColor theme="0" tint="-0.14996795556505021"/>
        </patternFill>
      </fill>
    </dxf>
    <dxf>
      <fill>
        <patternFill>
          <bgColor rgb="FFFF0000"/>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rgb="FFFF0000"/>
        </patternFill>
      </fill>
    </dxf>
    <dxf>
      <fill>
        <patternFill>
          <bgColor rgb="FF92D05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hyperlink" Target="#'1.9'!A1"/><Relationship Id="rId3" Type="http://schemas.openxmlformats.org/officeDocument/2006/relationships/hyperlink" Target="#'1.3'!A1"/><Relationship Id="rId7" Type="http://schemas.openxmlformats.org/officeDocument/2006/relationships/hyperlink" Target="#'1.7'!A1"/><Relationship Id="rId2" Type="http://schemas.openxmlformats.org/officeDocument/2006/relationships/hyperlink" Target="#'1.1'!A1"/><Relationship Id="rId1" Type="http://schemas.openxmlformats.org/officeDocument/2006/relationships/hyperlink" Target="#'1.2'!A1"/><Relationship Id="rId6" Type="http://schemas.openxmlformats.org/officeDocument/2006/relationships/hyperlink" Target="#'1.6'!A1"/><Relationship Id="rId11" Type="http://schemas.openxmlformats.org/officeDocument/2006/relationships/hyperlink" Target="#'1.8'!A1"/><Relationship Id="rId5" Type="http://schemas.openxmlformats.org/officeDocument/2006/relationships/hyperlink" Target="#'1.5'!A1"/><Relationship Id="rId10" Type="http://schemas.openxmlformats.org/officeDocument/2006/relationships/hyperlink" Target="#'1.11'!A1"/><Relationship Id="rId4" Type="http://schemas.openxmlformats.org/officeDocument/2006/relationships/hyperlink" Target="#'1.4'!A1"/><Relationship Id="rId9" Type="http://schemas.openxmlformats.org/officeDocument/2006/relationships/hyperlink" Target="#'1.10'!A1"/></Relationships>
</file>

<file path=xl/drawings/_rels/drawing2.xml.rels><?xml version="1.0" encoding="UTF-8" standalone="yes"?>
<Relationships xmlns="http://schemas.openxmlformats.org/package/2006/relationships"><Relationship Id="rId1" Type="http://schemas.openxmlformats.org/officeDocument/2006/relationships/hyperlink" Target="#'Mipyme Persona Natural'!C8"/></Relationships>
</file>

<file path=xl/drawings/_rels/drawing3.xml.rels><?xml version="1.0" encoding="UTF-8" standalone="yes"?>
<Relationships xmlns="http://schemas.openxmlformats.org/package/2006/relationships"><Relationship Id="rId1" Type="http://schemas.openxmlformats.org/officeDocument/2006/relationships/hyperlink" Target="#'Mipyme Persona Natural'!C18"/></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Mipyme Persona Natural'!C34"/></Relationships>
</file>

<file path=xl/drawings/_rels/drawing5.xml.rels><?xml version="1.0" encoding="UTF-8" standalone="yes"?>
<Relationships xmlns="http://schemas.openxmlformats.org/package/2006/relationships"><Relationship Id="rId1" Type="http://schemas.openxmlformats.org/officeDocument/2006/relationships/hyperlink" Target="#'Mipyme Persona Natural'!C53"/></Relationships>
</file>

<file path=xl/drawings/_rels/drawing6.xml.rels><?xml version="1.0" encoding="UTF-8" standalone="yes"?>
<Relationships xmlns="http://schemas.openxmlformats.org/package/2006/relationships"><Relationship Id="rId1" Type="http://schemas.openxmlformats.org/officeDocument/2006/relationships/hyperlink" Target="#'Mipyme Persona Natural'!C77"/></Relationships>
</file>

<file path=xl/drawings/_rels/drawing7.xml.rels><?xml version="1.0" encoding="UTF-8" standalone="yes"?>
<Relationships xmlns="http://schemas.openxmlformats.org/package/2006/relationships"><Relationship Id="rId1" Type="http://schemas.openxmlformats.org/officeDocument/2006/relationships/hyperlink" Target="#'Mipyme Persona Natural'!A108"/></Relationships>
</file>

<file path=xl/drawings/_rels/drawing8.xml.rels><?xml version="1.0" encoding="UTF-8" standalone="yes"?>
<Relationships xmlns="http://schemas.openxmlformats.org/package/2006/relationships"><Relationship Id="rId1" Type="http://schemas.openxmlformats.org/officeDocument/2006/relationships/hyperlink" Target="#'Mipyme Persona Natural'!C111"/></Relationships>
</file>

<file path=xl/drawings/_rels/drawing9.xml.rels><?xml version="1.0" encoding="UTF-8" standalone="yes"?>
<Relationships xmlns="http://schemas.openxmlformats.org/package/2006/relationships"><Relationship Id="rId1" Type="http://schemas.openxmlformats.org/officeDocument/2006/relationships/hyperlink" Target="#'Mipyme Persona Natural'!C178"/></Relationships>
</file>

<file path=xl/drawings/_rels/drawing10.xml.rels><?xml version="1.0" encoding="UTF-8" standalone="yes"?>
<Relationships xmlns="http://schemas.openxmlformats.org/package/2006/relationships"><Relationship Id="rId1" Type="http://schemas.openxmlformats.org/officeDocument/2006/relationships/hyperlink" Target="#'Mipyme Persona Natural'!C125"/></Relationships>
</file>

<file path=xl/drawings/_rels/drawing11.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hyperlink" Target="#'Mipyme Persona Natural'!C168"/><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hyperlink" Target="#'Mipyme Persona Natural'!C188"/></Relationships>
</file>

<file path=xl/drawings/drawing1.xml><?xml version="1.0" encoding="utf-8"?>
<xdr:wsDr xmlns:xdr="http://schemas.openxmlformats.org/drawingml/2006/spreadsheetDrawing" xmlns:a="http://schemas.openxmlformats.org/drawingml/2006/main">
  <xdr:twoCellAnchor>
    <xdr:from>
      <xdr:col>0</xdr:col>
      <xdr:colOff>95250</xdr:colOff>
      <xdr:row>16</xdr:row>
      <xdr:rowOff>176893</xdr:rowOff>
    </xdr:from>
    <xdr:to>
      <xdr:col>0</xdr:col>
      <xdr:colOff>1592036</xdr:colOff>
      <xdr:row>17</xdr:row>
      <xdr:rowOff>258536</xdr:rowOff>
    </xdr:to>
    <xdr:sp macro="" textlink="">
      <xdr:nvSpPr>
        <xdr:cNvPr id="2" name="1 Rectángulo redondeado">
          <a:hlinkClick xmlns:r="http://schemas.openxmlformats.org/officeDocument/2006/relationships" r:id="rId1"/>
        </xdr:cNvPr>
        <xdr:cNvSpPr/>
      </xdr:nvSpPr>
      <xdr:spPr>
        <a:xfrm>
          <a:off x="95250" y="3510643"/>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Ejemplo</a:t>
          </a:r>
        </a:p>
      </xdr:txBody>
    </xdr:sp>
    <xdr:clientData/>
  </xdr:twoCellAnchor>
  <xdr:twoCellAnchor>
    <xdr:from>
      <xdr:col>0</xdr:col>
      <xdr:colOff>152400</xdr:colOff>
      <xdr:row>7</xdr:row>
      <xdr:rowOff>152400</xdr:rowOff>
    </xdr:from>
    <xdr:to>
      <xdr:col>0</xdr:col>
      <xdr:colOff>1649186</xdr:colOff>
      <xdr:row>8</xdr:row>
      <xdr:rowOff>179614</xdr:rowOff>
    </xdr:to>
    <xdr:sp macro="" textlink="">
      <xdr:nvSpPr>
        <xdr:cNvPr id="3" name="2 Rectángulo redondeado">
          <a:hlinkClick xmlns:r="http://schemas.openxmlformats.org/officeDocument/2006/relationships" r:id="rId2"/>
        </xdr:cNvPr>
        <xdr:cNvSpPr/>
      </xdr:nvSpPr>
      <xdr:spPr>
        <a:xfrm>
          <a:off x="152400" y="1499507"/>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Ejemplo</a:t>
          </a:r>
        </a:p>
      </xdr:txBody>
    </xdr:sp>
    <xdr:clientData/>
  </xdr:twoCellAnchor>
  <xdr:twoCellAnchor>
    <xdr:from>
      <xdr:col>0</xdr:col>
      <xdr:colOff>95250</xdr:colOff>
      <xdr:row>33</xdr:row>
      <xdr:rowOff>0</xdr:rowOff>
    </xdr:from>
    <xdr:to>
      <xdr:col>0</xdr:col>
      <xdr:colOff>1592036</xdr:colOff>
      <xdr:row>34</xdr:row>
      <xdr:rowOff>27214</xdr:rowOff>
    </xdr:to>
    <xdr:sp macro="" textlink="">
      <xdr:nvSpPr>
        <xdr:cNvPr id="4" name="3 Rectángulo redondeado">
          <a:hlinkClick xmlns:r="http://schemas.openxmlformats.org/officeDocument/2006/relationships" r:id="rId3"/>
        </xdr:cNvPr>
        <xdr:cNvSpPr/>
      </xdr:nvSpPr>
      <xdr:spPr>
        <a:xfrm>
          <a:off x="95250" y="7551964"/>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122464</xdr:colOff>
      <xdr:row>51</xdr:row>
      <xdr:rowOff>122464</xdr:rowOff>
    </xdr:from>
    <xdr:to>
      <xdr:col>0</xdr:col>
      <xdr:colOff>1619250</xdr:colOff>
      <xdr:row>53</xdr:row>
      <xdr:rowOff>13607</xdr:rowOff>
    </xdr:to>
    <xdr:sp macro="" textlink="">
      <xdr:nvSpPr>
        <xdr:cNvPr id="6" name="5 Rectángulo redondeado">
          <a:hlinkClick xmlns:r="http://schemas.openxmlformats.org/officeDocument/2006/relationships" r:id="rId4"/>
        </xdr:cNvPr>
        <xdr:cNvSpPr/>
      </xdr:nvSpPr>
      <xdr:spPr>
        <a:xfrm>
          <a:off x="122464" y="12790714"/>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163286</xdr:colOff>
      <xdr:row>76</xdr:row>
      <xdr:rowOff>149679</xdr:rowOff>
    </xdr:from>
    <xdr:to>
      <xdr:col>0</xdr:col>
      <xdr:colOff>1660072</xdr:colOff>
      <xdr:row>76</xdr:row>
      <xdr:rowOff>421822</xdr:rowOff>
    </xdr:to>
    <xdr:sp macro="" textlink="">
      <xdr:nvSpPr>
        <xdr:cNvPr id="7" name="6 Rectángulo redondeado">
          <a:hlinkClick xmlns:r="http://schemas.openxmlformats.org/officeDocument/2006/relationships" r:id="rId5"/>
        </xdr:cNvPr>
        <xdr:cNvSpPr/>
      </xdr:nvSpPr>
      <xdr:spPr>
        <a:xfrm>
          <a:off x="163286" y="18151929"/>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132870</xdr:colOff>
      <xdr:row>106</xdr:row>
      <xdr:rowOff>11206</xdr:rowOff>
    </xdr:from>
    <xdr:to>
      <xdr:col>1</xdr:col>
      <xdr:colOff>3203</xdr:colOff>
      <xdr:row>109</xdr:row>
      <xdr:rowOff>185697</xdr:rowOff>
    </xdr:to>
    <xdr:sp macro="" textlink="">
      <xdr:nvSpPr>
        <xdr:cNvPr id="8" name="7 Rectángulo redondeado">
          <a:hlinkClick xmlns:r="http://schemas.openxmlformats.org/officeDocument/2006/relationships" r:id="rId6"/>
        </xdr:cNvPr>
        <xdr:cNvSpPr/>
      </xdr:nvSpPr>
      <xdr:spPr>
        <a:xfrm>
          <a:off x="132870" y="26199353"/>
          <a:ext cx="1360715" cy="79081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Gastos elegibles y no elegibles </a:t>
          </a:r>
        </a:p>
      </xdr:txBody>
    </xdr:sp>
    <xdr:clientData/>
  </xdr:twoCellAnchor>
  <xdr:twoCellAnchor>
    <xdr:from>
      <xdr:col>0</xdr:col>
      <xdr:colOff>54428</xdr:colOff>
      <xdr:row>115</xdr:row>
      <xdr:rowOff>0</xdr:rowOff>
    </xdr:from>
    <xdr:to>
      <xdr:col>0</xdr:col>
      <xdr:colOff>1415143</xdr:colOff>
      <xdr:row>116</xdr:row>
      <xdr:rowOff>217714</xdr:rowOff>
    </xdr:to>
    <xdr:sp macro="" textlink="">
      <xdr:nvSpPr>
        <xdr:cNvPr id="10" name="9 Rectángulo redondeado">
          <a:hlinkClick xmlns:r="http://schemas.openxmlformats.org/officeDocument/2006/relationships" r:id="rId7"/>
        </xdr:cNvPr>
        <xdr:cNvSpPr/>
      </xdr:nvSpPr>
      <xdr:spPr>
        <a:xfrm>
          <a:off x="54428" y="28656643"/>
          <a:ext cx="1360715" cy="46264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a:t>
          </a:r>
          <a:r>
            <a:rPr lang="es-EC" sz="1600" baseline="0"/>
            <a:t> de la tabla</a:t>
          </a:r>
          <a:endParaRPr lang="es-EC" sz="1600"/>
        </a:p>
      </xdr:txBody>
    </xdr:sp>
    <xdr:clientData/>
  </xdr:twoCellAnchor>
  <xdr:twoCellAnchor>
    <xdr:from>
      <xdr:col>0</xdr:col>
      <xdr:colOff>54428</xdr:colOff>
      <xdr:row>126</xdr:row>
      <xdr:rowOff>0</xdr:rowOff>
    </xdr:from>
    <xdr:to>
      <xdr:col>0</xdr:col>
      <xdr:colOff>1428750</xdr:colOff>
      <xdr:row>128</xdr:row>
      <xdr:rowOff>63500</xdr:rowOff>
    </xdr:to>
    <xdr:sp macro="" textlink="">
      <xdr:nvSpPr>
        <xdr:cNvPr id="13" name="12 Rectángulo redondeado">
          <a:hlinkClick xmlns:r="http://schemas.openxmlformats.org/officeDocument/2006/relationships" r:id="rId8"/>
        </xdr:cNvPr>
        <xdr:cNvSpPr/>
      </xdr:nvSpPr>
      <xdr:spPr>
        <a:xfrm>
          <a:off x="54428" y="31105929"/>
          <a:ext cx="1374322" cy="444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 de la tabla</a:t>
          </a:r>
        </a:p>
      </xdr:txBody>
    </xdr:sp>
    <xdr:clientData/>
  </xdr:twoCellAnchor>
  <xdr:twoCellAnchor>
    <xdr:from>
      <xdr:col>0</xdr:col>
      <xdr:colOff>0</xdr:colOff>
      <xdr:row>169</xdr:row>
      <xdr:rowOff>0</xdr:rowOff>
    </xdr:from>
    <xdr:to>
      <xdr:col>0</xdr:col>
      <xdr:colOff>1496786</xdr:colOff>
      <xdr:row>170</xdr:row>
      <xdr:rowOff>81643</xdr:rowOff>
    </xdr:to>
    <xdr:sp macro="" textlink="">
      <xdr:nvSpPr>
        <xdr:cNvPr id="14" name="13 Rectángulo redondeado">
          <a:hlinkClick xmlns:r="http://schemas.openxmlformats.org/officeDocument/2006/relationships" r:id="rId9"/>
        </xdr:cNvPr>
        <xdr:cNvSpPr/>
      </xdr:nvSpPr>
      <xdr:spPr>
        <a:xfrm>
          <a:off x="0" y="40971107"/>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a:t>
          </a:r>
        </a:p>
      </xdr:txBody>
    </xdr:sp>
    <xdr:clientData/>
  </xdr:twoCellAnchor>
  <xdr:twoCellAnchor>
    <xdr:from>
      <xdr:col>0</xdr:col>
      <xdr:colOff>0</xdr:colOff>
      <xdr:row>192</xdr:row>
      <xdr:rowOff>0</xdr:rowOff>
    </xdr:from>
    <xdr:to>
      <xdr:col>0</xdr:col>
      <xdr:colOff>1496786</xdr:colOff>
      <xdr:row>192</xdr:row>
      <xdr:rowOff>272143</xdr:rowOff>
    </xdr:to>
    <xdr:sp macro="" textlink="">
      <xdr:nvSpPr>
        <xdr:cNvPr id="15" name="14 Rectángulo redondeado">
          <a:hlinkClick xmlns:r="http://schemas.openxmlformats.org/officeDocument/2006/relationships" r:id="rId10"/>
        </xdr:cNvPr>
        <xdr:cNvSpPr/>
      </xdr:nvSpPr>
      <xdr:spPr>
        <a:xfrm>
          <a:off x="0" y="45379821"/>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3</xdr:col>
      <xdr:colOff>0</xdr:colOff>
      <xdr:row>196</xdr:row>
      <xdr:rowOff>0</xdr:rowOff>
    </xdr:from>
    <xdr:to>
      <xdr:col>3</xdr:col>
      <xdr:colOff>1496786</xdr:colOff>
      <xdr:row>197</xdr:row>
      <xdr:rowOff>81643</xdr:rowOff>
    </xdr:to>
    <xdr:sp macro="[0]!Validar" textlink="">
      <xdr:nvSpPr>
        <xdr:cNvPr id="16" name="15 Rectángulo redondeado"/>
        <xdr:cNvSpPr/>
      </xdr:nvSpPr>
      <xdr:spPr>
        <a:xfrm>
          <a:off x="5402036" y="46522821"/>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Validar</a:t>
          </a:r>
        </a:p>
      </xdr:txBody>
    </xdr:sp>
    <xdr:clientData/>
  </xdr:twoCellAnchor>
  <xdr:twoCellAnchor>
    <xdr:from>
      <xdr:col>0</xdr:col>
      <xdr:colOff>68036</xdr:colOff>
      <xdr:row>179</xdr:row>
      <xdr:rowOff>163286</xdr:rowOff>
    </xdr:from>
    <xdr:to>
      <xdr:col>0</xdr:col>
      <xdr:colOff>1564822</xdr:colOff>
      <xdr:row>180</xdr:row>
      <xdr:rowOff>299357</xdr:rowOff>
    </xdr:to>
    <xdr:sp macro="" textlink="">
      <xdr:nvSpPr>
        <xdr:cNvPr id="17" name="16 Rectángulo redondeado">
          <a:hlinkClick xmlns:r="http://schemas.openxmlformats.org/officeDocument/2006/relationships" r:id="rId11"/>
        </xdr:cNvPr>
        <xdr:cNvSpPr/>
      </xdr:nvSpPr>
      <xdr:spPr>
        <a:xfrm>
          <a:off x="68036" y="43352357"/>
          <a:ext cx="1496786"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25977</xdr:colOff>
      <xdr:row>2</xdr:row>
      <xdr:rowOff>233797</xdr:rowOff>
    </xdr:from>
    <xdr:to>
      <xdr:col>0</xdr:col>
      <xdr:colOff>995794</xdr:colOff>
      <xdr:row>3</xdr:row>
      <xdr:rowOff>164522</xdr:rowOff>
    </xdr:to>
    <xdr:sp macro="" textlink="">
      <xdr:nvSpPr>
        <xdr:cNvPr id="2" name="1 Rectángulo redondeado">
          <a:hlinkClick xmlns:r="http://schemas.openxmlformats.org/officeDocument/2006/relationships" r:id="rId1"/>
        </xdr:cNvPr>
        <xdr:cNvSpPr/>
      </xdr:nvSpPr>
      <xdr:spPr>
        <a:xfrm>
          <a:off x="25977" y="614797"/>
          <a:ext cx="969817" cy="1731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200"/>
            <a:t>Regresar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841375</xdr:colOff>
      <xdr:row>3</xdr:row>
      <xdr:rowOff>150813</xdr:rowOff>
    </xdr:to>
    <xdr:sp macro="" textlink="">
      <xdr:nvSpPr>
        <xdr:cNvPr id="2" name="1 Rectángulo redondeado">
          <a:hlinkClick xmlns:r="http://schemas.openxmlformats.org/officeDocument/2006/relationships" r:id="rId1"/>
        </xdr:cNvPr>
        <xdr:cNvSpPr/>
      </xdr:nvSpPr>
      <xdr:spPr>
        <a:xfrm>
          <a:off x="0" y="571500"/>
          <a:ext cx="841375" cy="1508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3</xdr:row>
      <xdr:rowOff>0</xdr:rowOff>
    </xdr:from>
    <xdr:to>
      <xdr:col>0</xdr:col>
      <xdr:colOff>1209675</xdr:colOff>
      <xdr:row>4</xdr:row>
      <xdr:rowOff>47625</xdr:rowOff>
    </xdr:to>
    <xdr:sp macro="" textlink="">
      <xdr:nvSpPr>
        <xdr:cNvPr id="2" name="1 Rectángulo redondeado">
          <a:hlinkClick xmlns:r="http://schemas.openxmlformats.org/officeDocument/2006/relationships" r:id="rId1"/>
        </xdr:cNvPr>
        <xdr:cNvSpPr/>
      </xdr:nvSpPr>
      <xdr:spPr>
        <a:xfrm>
          <a:off x="104775" y="619125"/>
          <a:ext cx="110490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twoCellAnchor editAs="oneCell">
    <xdr:from>
      <xdr:col>1</xdr:col>
      <xdr:colOff>384165</xdr:colOff>
      <xdr:row>5</xdr:row>
      <xdr:rowOff>247650</xdr:rowOff>
    </xdr:from>
    <xdr:to>
      <xdr:col>2</xdr:col>
      <xdr:colOff>2621481</xdr:colOff>
      <xdr:row>11</xdr:row>
      <xdr:rowOff>85725</xdr:rowOff>
    </xdr:to>
    <xdr:pic>
      <xdr:nvPicPr>
        <xdr:cNvPr id="3" name="2 Imagen" descr="2.jpg"/>
        <xdr:cNvPicPr>
          <a:picLocks noChangeAspect="1"/>
        </xdr:cNvPicPr>
      </xdr:nvPicPr>
      <xdr:blipFill>
        <a:blip xmlns:r="http://schemas.openxmlformats.org/officeDocument/2006/relationships" r:embed="rId2"/>
        <a:stretch>
          <a:fillRect/>
        </a:stretch>
      </xdr:blipFill>
      <xdr:spPr>
        <a:xfrm>
          <a:off x="1950498" y="1253067"/>
          <a:ext cx="4226983" cy="2737908"/>
        </a:xfrm>
        <a:prstGeom prst="rect">
          <a:avLst/>
        </a:prstGeom>
      </xdr:spPr>
    </xdr:pic>
    <xdr:clientData/>
  </xdr:twoCellAnchor>
  <xdr:twoCellAnchor editAs="oneCell">
    <xdr:from>
      <xdr:col>1</xdr:col>
      <xdr:colOff>116416</xdr:colOff>
      <xdr:row>17</xdr:row>
      <xdr:rowOff>21168</xdr:rowOff>
    </xdr:from>
    <xdr:to>
      <xdr:col>2</xdr:col>
      <xdr:colOff>2688164</xdr:colOff>
      <xdr:row>52</xdr:row>
      <xdr:rowOff>169334</xdr:rowOff>
    </xdr:to>
    <xdr:pic>
      <xdr:nvPicPr>
        <xdr:cNvPr id="4" name="3 Imagen" descr="1.jpg"/>
        <xdr:cNvPicPr>
          <a:picLocks noChangeAspect="1"/>
        </xdr:cNvPicPr>
      </xdr:nvPicPr>
      <xdr:blipFill>
        <a:blip xmlns:r="http://schemas.openxmlformats.org/officeDocument/2006/relationships" r:embed="rId3"/>
        <a:stretch>
          <a:fillRect/>
        </a:stretch>
      </xdr:blipFill>
      <xdr:spPr>
        <a:xfrm>
          <a:off x="1682749" y="5016501"/>
          <a:ext cx="4561415" cy="681566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0</xdr:rowOff>
    </xdr:from>
    <xdr:to>
      <xdr:col>0</xdr:col>
      <xdr:colOff>1133475</xdr:colOff>
      <xdr:row>5</xdr:row>
      <xdr:rowOff>47625</xdr:rowOff>
    </xdr:to>
    <xdr:sp macro="" textlink="">
      <xdr:nvSpPr>
        <xdr:cNvPr id="2" name="1 Rectángulo redondeado">
          <a:hlinkClick xmlns:r="http://schemas.openxmlformats.org/officeDocument/2006/relationships" r:id="rId1"/>
        </xdr:cNvPr>
        <xdr:cNvSpPr/>
      </xdr:nvSpPr>
      <xdr:spPr>
        <a:xfrm>
          <a:off x="0" y="809625"/>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68035</xdr:colOff>
      <xdr:row>2</xdr:row>
      <xdr:rowOff>503464</xdr:rowOff>
    </xdr:from>
    <xdr:to>
      <xdr:col>0</xdr:col>
      <xdr:colOff>1564821</xdr:colOff>
      <xdr:row>2</xdr:row>
      <xdr:rowOff>775607</xdr:rowOff>
    </xdr:to>
    <xdr:sp macro="" textlink="">
      <xdr:nvSpPr>
        <xdr:cNvPr id="2" name="1 Rectángulo redondeado">
          <a:hlinkClick xmlns:r="http://schemas.openxmlformats.org/officeDocument/2006/relationships" r:id="rId1"/>
        </xdr:cNvPr>
        <xdr:cNvSpPr/>
      </xdr:nvSpPr>
      <xdr:spPr>
        <a:xfrm>
          <a:off x="68035" y="884464"/>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6</xdr:row>
      <xdr:rowOff>0</xdr:rowOff>
    </xdr:from>
    <xdr:to>
      <xdr:col>0</xdr:col>
      <xdr:colOff>1133475</xdr:colOff>
      <xdr:row>7</xdr:row>
      <xdr:rowOff>47625</xdr:rowOff>
    </xdr:to>
    <xdr:sp macro="" textlink="">
      <xdr:nvSpPr>
        <xdr:cNvPr id="2" name="1 Rectángulo redondeado">
          <a:hlinkClick xmlns:r="http://schemas.openxmlformats.org/officeDocument/2006/relationships" r:id="rId1"/>
        </xdr:cNvPr>
        <xdr:cNvSpPr/>
      </xdr:nvSpPr>
      <xdr:spPr>
        <a:xfrm>
          <a:off x="0" y="1214438"/>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1133475</xdr:colOff>
      <xdr:row>3</xdr:row>
      <xdr:rowOff>238125</xdr:rowOff>
    </xdr:to>
    <xdr:sp macro="" textlink="">
      <xdr:nvSpPr>
        <xdr:cNvPr id="2" name="1 Rectángulo redondeado">
          <a:hlinkClick xmlns:r="http://schemas.openxmlformats.org/officeDocument/2006/relationships" r:id="rId1"/>
        </xdr:cNvPr>
        <xdr:cNvSpPr/>
      </xdr:nvSpPr>
      <xdr:spPr>
        <a:xfrm>
          <a:off x="0" y="571500"/>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4</xdr:row>
      <xdr:rowOff>0</xdr:rowOff>
    </xdr:from>
    <xdr:to>
      <xdr:col>0</xdr:col>
      <xdr:colOff>1133475</xdr:colOff>
      <xdr:row>5</xdr:row>
      <xdr:rowOff>47625</xdr:rowOff>
    </xdr:to>
    <xdr:sp macro="" textlink="">
      <xdr:nvSpPr>
        <xdr:cNvPr id="2" name="1 Rectángulo redondeado">
          <a:hlinkClick xmlns:r="http://schemas.openxmlformats.org/officeDocument/2006/relationships" r:id="rId1"/>
        </xdr:cNvPr>
        <xdr:cNvSpPr/>
      </xdr:nvSpPr>
      <xdr:spPr>
        <a:xfrm>
          <a:off x="0" y="809625"/>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1496786</xdr:colOff>
      <xdr:row>4</xdr:row>
      <xdr:rowOff>81643</xdr:rowOff>
    </xdr:to>
    <xdr:sp macro="" textlink="">
      <xdr:nvSpPr>
        <xdr:cNvPr id="2" name="1 Rectángulo redondeado">
          <a:hlinkClick xmlns:r="http://schemas.openxmlformats.org/officeDocument/2006/relationships" r:id="rId1"/>
        </xdr:cNvPr>
        <xdr:cNvSpPr/>
      </xdr:nvSpPr>
      <xdr:spPr>
        <a:xfrm>
          <a:off x="0" y="571500"/>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1111250</xdr:colOff>
      <xdr:row>4</xdr:row>
      <xdr:rowOff>42333</xdr:rowOff>
    </xdr:to>
    <xdr:sp macro="" textlink="">
      <xdr:nvSpPr>
        <xdr:cNvPr id="2" name="1 Rectángulo redondeado">
          <a:hlinkClick xmlns:r="http://schemas.openxmlformats.org/officeDocument/2006/relationships" r:id="rId1"/>
        </xdr:cNvPr>
        <xdr:cNvSpPr/>
      </xdr:nvSpPr>
      <xdr:spPr>
        <a:xfrm>
          <a:off x="0" y="571500"/>
          <a:ext cx="1111250" cy="23283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200"/>
            <a:t>Regresar</a:t>
          </a:r>
        </a:p>
      </xdr:txBody>
    </xdr:sp>
    <xdr:clientData/>
  </xdr:twoCellAnchor>
  <xdr:twoCellAnchor editAs="oneCell">
    <xdr:from>
      <xdr:col>4</xdr:col>
      <xdr:colOff>269876</xdr:colOff>
      <xdr:row>30</xdr:row>
      <xdr:rowOff>74084</xdr:rowOff>
    </xdr:from>
    <xdr:to>
      <xdr:col>7</xdr:col>
      <xdr:colOff>384176</xdr:colOff>
      <xdr:row>37</xdr:row>
      <xdr:rowOff>55034</xdr:rowOff>
    </xdr:to>
    <xdr:pic>
      <xdr:nvPicPr>
        <xdr:cNvPr id="3" name="2 Imagen" descr="1.jpg"/>
        <xdr:cNvPicPr>
          <a:picLocks noChangeAspect="1"/>
        </xdr:cNvPicPr>
      </xdr:nvPicPr>
      <xdr:blipFill>
        <a:blip xmlns:r="http://schemas.openxmlformats.org/officeDocument/2006/relationships" r:embed="rId2"/>
        <a:stretch>
          <a:fillRect/>
        </a:stretch>
      </xdr:blipFill>
      <xdr:spPr>
        <a:xfrm>
          <a:off x="4524376" y="5804959"/>
          <a:ext cx="2400300" cy="1314450"/>
        </a:xfrm>
        <a:prstGeom prst="rect">
          <a:avLst/>
        </a:prstGeom>
      </xdr:spPr>
    </xdr:pic>
    <xdr:clientData/>
  </xdr:twoCellAnchor>
  <xdr:twoCellAnchor editAs="oneCell">
    <xdr:from>
      <xdr:col>2</xdr:col>
      <xdr:colOff>269875</xdr:colOff>
      <xdr:row>40</xdr:row>
      <xdr:rowOff>79375</xdr:rowOff>
    </xdr:from>
    <xdr:to>
      <xdr:col>9</xdr:col>
      <xdr:colOff>180361</xdr:colOff>
      <xdr:row>55</xdr:row>
      <xdr:rowOff>123824</xdr:rowOff>
    </xdr:to>
    <xdr:pic>
      <xdr:nvPicPr>
        <xdr:cNvPr id="4" name="3 Imagen" descr="2.jpg"/>
        <xdr:cNvPicPr>
          <a:picLocks noChangeAspect="1"/>
        </xdr:cNvPicPr>
      </xdr:nvPicPr>
      <xdr:blipFill>
        <a:blip xmlns:r="http://schemas.openxmlformats.org/officeDocument/2006/relationships" r:embed="rId3"/>
        <a:stretch>
          <a:fillRect/>
        </a:stretch>
      </xdr:blipFill>
      <xdr:spPr>
        <a:xfrm>
          <a:off x="3000375" y="7715250"/>
          <a:ext cx="5244486" cy="2901949"/>
        </a:xfrm>
        <a:prstGeom prst="rect">
          <a:avLst/>
        </a:prstGeom>
      </xdr:spPr>
    </xdr:pic>
    <xdr:clientData/>
  </xdr:twoCellAnchor>
  <xdr:twoCellAnchor editAs="oneCell">
    <xdr:from>
      <xdr:col>4</xdr:col>
      <xdr:colOff>79375</xdr:colOff>
      <xdr:row>60</xdr:row>
      <xdr:rowOff>79375</xdr:rowOff>
    </xdr:from>
    <xdr:to>
      <xdr:col>8</xdr:col>
      <xdr:colOff>107950</xdr:colOff>
      <xdr:row>82</xdr:row>
      <xdr:rowOff>12700</xdr:rowOff>
    </xdr:to>
    <xdr:pic>
      <xdr:nvPicPr>
        <xdr:cNvPr id="5" name="4 Imagen" descr="3.jpg"/>
        <xdr:cNvPicPr>
          <a:picLocks noChangeAspect="1"/>
        </xdr:cNvPicPr>
      </xdr:nvPicPr>
      <xdr:blipFill>
        <a:blip xmlns:r="http://schemas.openxmlformats.org/officeDocument/2006/relationships" r:embed="rId4"/>
        <a:stretch>
          <a:fillRect/>
        </a:stretch>
      </xdr:blipFill>
      <xdr:spPr>
        <a:xfrm>
          <a:off x="4333875" y="11334750"/>
          <a:ext cx="3076575" cy="4124325"/>
        </a:xfrm>
        <a:prstGeom prst="rect">
          <a:avLst/>
        </a:prstGeom>
      </xdr:spPr>
    </xdr:pic>
    <xdr:clientData/>
  </xdr:twoCellAnchor>
  <xdr:twoCellAnchor editAs="oneCell">
    <xdr:from>
      <xdr:col>4</xdr:col>
      <xdr:colOff>31750</xdr:colOff>
      <xdr:row>87</xdr:row>
      <xdr:rowOff>47625</xdr:rowOff>
    </xdr:from>
    <xdr:to>
      <xdr:col>8</xdr:col>
      <xdr:colOff>28954</xdr:colOff>
      <xdr:row>105</xdr:row>
      <xdr:rowOff>47625</xdr:rowOff>
    </xdr:to>
    <xdr:pic>
      <xdr:nvPicPr>
        <xdr:cNvPr id="6" name="5 Imagen" descr="4.jpg"/>
        <xdr:cNvPicPr>
          <a:picLocks noChangeAspect="1"/>
        </xdr:cNvPicPr>
      </xdr:nvPicPr>
      <xdr:blipFill>
        <a:blip xmlns:r="http://schemas.openxmlformats.org/officeDocument/2006/relationships" r:embed="rId5"/>
        <a:stretch>
          <a:fillRect/>
        </a:stretch>
      </xdr:blipFill>
      <xdr:spPr>
        <a:xfrm>
          <a:off x="4286250" y="16637000"/>
          <a:ext cx="3045204" cy="3429000"/>
        </a:xfrm>
        <a:prstGeom prst="rect">
          <a:avLst/>
        </a:prstGeom>
      </xdr:spPr>
    </xdr:pic>
    <xdr:clientData/>
  </xdr:twoCellAnchor>
  <xdr:twoCellAnchor editAs="oneCell">
    <xdr:from>
      <xdr:col>4</xdr:col>
      <xdr:colOff>15874</xdr:colOff>
      <xdr:row>110</xdr:row>
      <xdr:rowOff>63500</xdr:rowOff>
    </xdr:from>
    <xdr:to>
      <xdr:col>8</xdr:col>
      <xdr:colOff>158749</xdr:colOff>
      <xdr:row>127</xdr:row>
      <xdr:rowOff>158750</xdr:rowOff>
    </xdr:to>
    <xdr:pic>
      <xdr:nvPicPr>
        <xdr:cNvPr id="7" name="6 Imagen" descr="5.jpg"/>
        <xdr:cNvPicPr>
          <a:picLocks noChangeAspect="1"/>
        </xdr:cNvPicPr>
      </xdr:nvPicPr>
      <xdr:blipFill>
        <a:blip xmlns:r="http://schemas.openxmlformats.org/officeDocument/2006/relationships" r:embed="rId6"/>
        <a:stretch>
          <a:fillRect/>
        </a:stretch>
      </xdr:blipFill>
      <xdr:spPr>
        <a:xfrm>
          <a:off x="4270374" y="21034375"/>
          <a:ext cx="3190875" cy="3333750"/>
        </a:xfrm>
        <a:prstGeom prst="rect">
          <a:avLst/>
        </a:prstGeom>
      </xdr:spPr>
    </xdr:pic>
    <xdr:clientData/>
  </xdr:twoCellAnchor>
  <xdr:twoCellAnchor editAs="oneCell">
    <xdr:from>
      <xdr:col>4</xdr:col>
      <xdr:colOff>0</xdr:colOff>
      <xdr:row>132</xdr:row>
      <xdr:rowOff>31750</xdr:rowOff>
    </xdr:from>
    <xdr:to>
      <xdr:col>7</xdr:col>
      <xdr:colOff>600075</xdr:colOff>
      <xdr:row>153</xdr:row>
      <xdr:rowOff>117475</xdr:rowOff>
    </xdr:to>
    <xdr:pic>
      <xdr:nvPicPr>
        <xdr:cNvPr id="8" name="7 Imagen" descr="6.jpg"/>
        <xdr:cNvPicPr>
          <a:picLocks noChangeAspect="1"/>
        </xdr:cNvPicPr>
      </xdr:nvPicPr>
      <xdr:blipFill>
        <a:blip xmlns:r="http://schemas.openxmlformats.org/officeDocument/2006/relationships" r:embed="rId7"/>
        <a:stretch>
          <a:fillRect/>
        </a:stretch>
      </xdr:blipFill>
      <xdr:spPr>
        <a:xfrm>
          <a:off x="4254500" y="25193625"/>
          <a:ext cx="2886075" cy="4086225"/>
        </a:xfrm>
        <a:prstGeom prst="rect">
          <a:avLst/>
        </a:prstGeom>
      </xdr:spPr>
    </xdr:pic>
    <xdr:clientData/>
  </xdr:twoCellAnchor>
  <xdr:twoCellAnchor editAs="oneCell">
    <xdr:from>
      <xdr:col>3</xdr:col>
      <xdr:colOff>190500</xdr:colOff>
      <xdr:row>157</xdr:row>
      <xdr:rowOff>349250</xdr:rowOff>
    </xdr:from>
    <xdr:to>
      <xdr:col>9</xdr:col>
      <xdr:colOff>609600</xdr:colOff>
      <xdr:row>180</xdr:row>
      <xdr:rowOff>88901</xdr:rowOff>
    </xdr:to>
    <xdr:pic>
      <xdr:nvPicPr>
        <xdr:cNvPr id="9" name="8 Imagen" descr="7.jpg"/>
        <xdr:cNvPicPr>
          <a:picLocks noChangeAspect="1"/>
        </xdr:cNvPicPr>
      </xdr:nvPicPr>
      <xdr:blipFill>
        <a:blip xmlns:r="http://schemas.openxmlformats.org/officeDocument/2006/relationships" r:embed="rId8"/>
        <a:stretch>
          <a:fillRect/>
        </a:stretch>
      </xdr:blipFill>
      <xdr:spPr>
        <a:xfrm>
          <a:off x="3683000" y="30273625"/>
          <a:ext cx="4991100" cy="4391025"/>
        </a:xfrm>
        <a:prstGeom prst="rect">
          <a:avLst/>
        </a:prstGeom>
      </xdr:spPr>
    </xdr:pic>
    <xdr:clientData/>
  </xdr:twoCellAnchor>
  <xdr:twoCellAnchor editAs="oneCell">
    <xdr:from>
      <xdr:col>2</xdr:col>
      <xdr:colOff>631031</xdr:colOff>
      <xdr:row>184</xdr:row>
      <xdr:rowOff>111125</xdr:rowOff>
    </xdr:from>
    <xdr:to>
      <xdr:col>11</xdr:col>
      <xdr:colOff>428625</xdr:colOff>
      <xdr:row>190</xdr:row>
      <xdr:rowOff>15875</xdr:rowOff>
    </xdr:to>
    <xdr:pic>
      <xdr:nvPicPr>
        <xdr:cNvPr id="11" name="10 Imagen" descr="9.jpg"/>
        <xdr:cNvPicPr>
          <a:picLocks noChangeAspect="1"/>
        </xdr:cNvPicPr>
      </xdr:nvPicPr>
      <xdr:blipFill>
        <a:blip xmlns:r="http://schemas.openxmlformats.org/officeDocument/2006/relationships" r:embed="rId9"/>
        <a:stretch>
          <a:fillRect/>
        </a:stretch>
      </xdr:blipFill>
      <xdr:spPr>
        <a:xfrm>
          <a:off x="3345656" y="35436969"/>
          <a:ext cx="6655594" cy="1047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3</xdr:row>
      <xdr:rowOff>0</xdr:rowOff>
    </xdr:from>
    <xdr:to>
      <xdr:col>1</xdr:col>
      <xdr:colOff>182336</xdr:colOff>
      <xdr:row>4</xdr:row>
      <xdr:rowOff>81643</xdr:rowOff>
    </xdr:to>
    <xdr:sp macro="" textlink="">
      <xdr:nvSpPr>
        <xdr:cNvPr id="2" name="1 Rectángulo redondeado">
          <a:hlinkClick xmlns:r="http://schemas.openxmlformats.org/officeDocument/2006/relationships" r:id="rId1"/>
        </xdr:cNvPr>
        <xdr:cNvSpPr/>
      </xdr:nvSpPr>
      <xdr:spPr>
        <a:xfrm>
          <a:off x="0" y="571500"/>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200"/>
            <a:t>Regresar</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mailto:123ALFA3@GMAIL.COM" TargetMode="External"/><Relationship Id="rId1" Type="http://schemas.openxmlformats.org/officeDocument/2006/relationships/hyperlink" Target="mailto:DAFO34W@YAHOO.ES"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Hoja5"/>
  <dimension ref="A3:IL196"/>
  <sheetViews>
    <sheetView topLeftCell="A110" zoomScale="90" zoomScaleNormal="90" workbookViewId="0">
      <selection activeCell="H114" sqref="H114"/>
    </sheetView>
  </sheetViews>
  <sheetFormatPr baseColWidth="10" defaultRowHeight="15"/>
  <cols>
    <col min="1" max="1" width="22.42578125" style="96" customWidth="1"/>
    <col min="2" max="2" width="7.7109375" style="96" customWidth="1"/>
    <col min="3" max="3" width="43.28515625" style="96" customWidth="1"/>
    <col min="4" max="4" width="30.140625" style="96" customWidth="1"/>
    <col min="5" max="5" width="29" style="96" customWidth="1"/>
    <col min="6" max="6" width="22.7109375" style="96" customWidth="1"/>
    <col min="7" max="7" width="23.85546875" style="96" customWidth="1"/>
    <col min="8" max="8" width="20.42578125" style="96" customWidth="1"/>
    <col min="9" max="9" width="23.42578125" style="96" customWidth="1"/>
    <col min="10" max="10" width="34.85546875" style="96" customWidth="1"/>
    <col min="11" max="16384" width="11.42578125" style="96"/>
  </cols>
  <sheetData>
    <row r="3" spans="1:246">
      <c r="D3" s="97"/>
    </row>
    <row r="4" spans="1:246">
      <c r="IL4" s="96" t="s">
        <v>0</v>
      </c>
    </row>
    <row r="5" spans="1:246">
      <c r="C5" s="98"/>
      <c r="D5" s="99"/>
      <c r="K5" s="100"/>
      <c r="L5" s="100"/>
      <c r="IL5" s="96" t="s">
        <v>1</v>
      </c>
    </row>
    <row r="6" spans="1:246" ht="37.5">
      <c r="A6" s="101" t="s">
        <v>2</v>
      </c>
      <c r="B6" s="102" t="s">
        <v>252</v>
      </c>
      <c r="C6" s="103" t="s">
        <v>3</v>
      </c>
      <c r="D6" s="249"/>
      <c r="E6" s="250"/>
    </row>
    <row r="8" spans="1:246" ht="18.75">
      <c r="C8" s="229" t="s">
        <v>4</v>
      </c>
      <c r="D8" s="230"/>
      <c r="E8" s="230"/>
      <c r="F8" s="230"/>
    </row>
    <row r="10" spans="1:246">
      <c r="B10" s="96" t="s">
        <v>249</v>
      </c>
      <c r="C10" s="103" t="s">
        <v>7</v>
      </c>
      <c r="D10" s="208"/>
      <c r="E10" s="97"/>
    </row>
    <row r="12" spans="1:246">
      <c r="B12" s="96" t="s">
        <v>250</v>
      </c>
      <c r="C12" s="103" t="s">
        <v>10</v>
      </c>
      <c r="D12" s="209"/>
      <c r="E12" s="104" t="s">
        <v>253</v>
      </c>
      <c r="F12" s="103" t="s">
        <v>11</v>
      </c>
      <c r="G12" s="209"/>
    </row>
    <row r="13" spans="1:246">
      <c r="D13" s="105"/>
    </row>
    <row r="14" spans="1:246">
      <c r="B14" s="96" t="s">
        <v>251</v>
      </c>
      <c r="C14" s="103" t="s">
        <v>14</v>
      </c>
      <c r="D14" s="210"/>
      <c r="E14" s="106"/>
    </row>
    <row r="15" spans="1:246" ht="18" customHeight="1"/>
    <row r="16" spans="1:246" ht="18" customHeight="1">
      <c r="B16" s="96" t="s">
        <v>254</v>
      </c>
      <c r="C16" s="103" t="s">
        <v>17</v>
      </c>
      <c r="D16" s="211"/>
      <c r="E16" s="97"/>
    </row>
    <row r="18" spans="2:9" ht="21.75" customHeight="1">
      <c r="C18" s="107" t="s">
        <v>20</v>
      </c>
    </row>
    <row r="20" spans="2:9">
      <c r="B20" s="96" t="s">
        <v>255</v>
      </c>
      <c r="C20" s="103" t="s">
        <v>23</v>
      </c>
      <c r="D20" s="211"/>
      <c r="E20" s="97"/>
    </row>
    <row r="22" spans="2:9" ht="24.75" customHeight="1">
      <c r="B22" s="96" t="s">
        <v>256</v>
      </c>
      <c r="C22" s="103" t="s">
        <v>26</v>
      </c>
      <c r="D22" s="210"/>
      <c r="E22" s="97"/>
    </row>
    <row r="24" spans="2:9">
      <c r="B24" s="96" t="s">
        <v>257</v>
      </c>
      <c r="C24" s="103" t="s">
        <v>29</v>
      </c>
      <c r="D24" s="210"/>
      <c r="E24" s="97"/>
    </row>
    <row r="26" spans="2:9">
      <c r="B26" s="96" t="s">
        <v>258</v>
      </c>
      <c r="C26" s="251" t="s">
        <v>32</v>
      </c>
      <c r="D26" s="252"/>
      <c r="E26" s="253"/>
      <c r="F26" s="254"/>
    </row>
    <row r="27" spans="2:9">
      <c r="C27" s="251"/>
      <c r="D27" s="255"/>
      <c r="E27" s="256"/>
      <c r="F27" s="257"/>
    </row>
    <row r="29" spans="2:9" ht="33" customHeight="1">
      <c r="B29" s="96" t="s">
        <v>259</v>
      </c>
      <c r="C29" s="103" t="s">
        <v>36</v>
      </c>
      <c r="D29" s="212"/>
      <c r="E29" s="187">
        <v>3456</v>
      </c>
      <c r="F29" s="108" t="s">
        <v>223</v>
      </c>
      <c r="G29" s="109" t="s">
        <v>37</v>
      </c>
      <c r="H29" s="213"/>
      <c r="I29" s="97"/>
    </row>
    <row r="31" spans="2:9" ht="33" customHeight="1">
      <c r="B31" s="96" t="s">
        <v>260</v>
      </c>
      <c r="C31" s="103" t="s">
        <v>40</v>
      </c>
      <c r="D31" s="214"/>
      <c r="F31" s="108" t="s">
        <v>224</v>
      </c>
      <c r="G31" s="109" t="s">
        <v>41</v>
      </c>
      <c r="H31" s="186"/>
    </row>
    <row r="34" spans="2:7" ht="18.75">
      <c r="C34" s="258" t="s">
        <v>210</v>
      </c>
      <c r="D34" s="259"/>
      <c r="E34" s="259"/>
      <c r="F34" s="259"/>
    </row>
    <row r="36" spans="2:7">
      <c r="B36" s="96" t="s">
        <v>261</v>
      </c>
      <c r="C36" s="103" t="s">
        <v>43</v>
      </c>
      <c r="D36" s="210"/>
    </row>
    <row r="37" spans="2:7">
      <c r="C37" s="98"/>
      <c r="D37" s="111"/>
    </row>
    <row r="38" spans="2:7">
      <c r="B38" s="96" t="s">
        <v>262</v>
      </c>
      <c r="C38" s="103" t="s">
        <v>44</v>
      </c>
      <c r="D38" s="210"/>
      <c r="E38" s="97"/>
    </row>
    <row r="39" spans="2:7">
      <c r="D39" s="105"/>
    </row>
    <row r="40" spans="2:7" ht="30" customHeight="1">
      <c r="C40" s="105"/>
      <c r="D40" s="112" t="s">
        <v>47</v>
      </c>
      <c r="E40" s="112" t="s">
        <v>48</v>
      </c>
    </row>
    <row r="41" spans="2:7">
      <c r="B41" s="96" t="s">
        <v>263</v>
      </c>
      <c r="C41" s="113" t="s">
        <v>50</v>
      </c>
      <c r="D41" s="210"/>
      <c r="E41" s="200">
        <v>42835</v>
      </c>
      <c r="F41" s="97"/>
    </row>
    <row r="42" spans="2:7">
      <c r="D42" s="97"/>
    </row>
    <row r="43" spans="2:7" ht="33" customHeight="1">
      <c r="B43" s="96" t="s">
        <v>264</v>
      </c>
      <c r="C43" s="113" t="s">
        <v>51</v>
      </c>
      <c r="D43" s="210"/>
      <c r="E43" s="97"/>
    </row>
    <row r="44" spans="2:7">
      <c r="D44" s="105"/>
    </row>
    <row r="45" spans="2:7" ht="72" customHeight="1">
      <c r="B45" s="114" t="s">
        <v>265</v>
      </c>
      <c r="C45" s="109" t="s">
        <v>207</v>
      </c>
      <c r="D45" s="210"/>
      <c r="E45" s="97"/>
    </row>
    <row r="47" spans="2:7" ht="60" customHeight="1">
      <c r="B47" s="114" t="s">
        <v>266</v>
      </c>
      <c r="C47" s="109" t="s">
        <v>52</v>
      </c>
      <c r="D47" s="210"/>
      <c r="E47" s="97"/>
      <c r="F47" s="97"/>
    </row>
    <row r="48" spans="2:7">
      <c r="C48" s="115"/>
      <c r="D48" s="97"/>
      <c r="G48" s="97"/>
    </row>
    <row r="49" spans="2:8" ht="30" customHeight="1">
      <c r="B49" s="96" t="s">
        <v>267</v>
      </c>
      <c r="C49" s="109" t="s">
        <v>53</v>
      </c>
      <c r="D49" s="210"/>
      <c r="E49" s="116" t="s">
        <v>268</v>
      </c>
      <c r="F49" s="112" t="s">
        <v>54</v>
      </c>
      <c r="G49" s="210"/>
    </row>
    <row r="51" spans="2:8" ht="18.75">
      <c r="C51" s="258" t="s">
        <v>55</v>
      </c>
      <c r="D51" s="259"/>
      <c r="E51" s="259"/>
      <c r="F51" s="259"/>
    </row>
    <row r="53" spans="2:8">
      <c r="B53" s="96" t="s">
        <v>269</v>
      </c>
      <c r="C53" s="103" t="s">
        <v>56</v>
      </c>
      <c r="D53" s="210" t="s">
        <v>57</v>
      </c>
      <c r="E53" s="97"/>
    </row>
    <row r="55" spans="2:8" ht="15" customHeight="1">
      <c r="C55" s="234" t="s">
        <v>59</v>
      </c>
      <c r="D55" s="234"/>
    </row>
    <row r="56" spans="2:8">
      <c r="B56" s="114" t="s">
        <v>270</v>
      </c>
      <c r="C56" s="234"/>
      <c r="D56" s="234"/>
    </row>
    <row r="57" spans="2:8">
      <c r="C57" s="225"/>
      <c r="D57" s="226"/>
      <c r="E57" s="97"/>
      <c r="G57" s="246"/>
      <c r="H57" s="246"/>
    </row>
    <row r="58" spans="2:8">
      <c r="G58" s="246"/>
      <c r="H58" s="246"/>
    </row>
    <row r="59" spans="2:8" ht="15" customHeight="1">
      <c r="C59" s="234" t="s">
        <v>62</v>
      </c>
      <c r="D59" s="234"/>
    </row>
    <row r="60" spans="2:8" ht="30" customHeight="1">
      <c r="B60" s="114" t="s">
        <v>225</v>
      </c>
      <c r="C60" s="234"/>
      <c r="D60" s="234"/>
      <c r="E60" s="117"/>
    </row>
    <row r="61" spans="2:8" ht="15" customHeight="1">
      <c r="C61" s="118" t="s">
        <v>65</v>
      </c>
      <c r="D61" s="118"/>
    </row>
    <row r="62" spans="2:8" ht="15" customHeight="1">
      <c r="C62" s="119" t="s">
        <v>67</v>
      </c>
      <c r="D62" s="119"/>
    </row>
    <row r="63" spans="2:8" ht="15" customHeight="1">
      <c r="C63" s="119" t="s">
        <v>69</v>
      </c>
      <c r="D63" s="119"/>
    </row>
    <row r="64" spans="2:8" ht="15" customHeight="1">
      <c r="C64" s="119" t="s">
        <v>64</v>
      </c>
      <c r="D64" s="119"/>
      <c r="E64" s="188"/>
    </row>
    <row r="65" spans="2:9" ht="15" customHeight="1">
      <c r="C65" s="119" t="s">
        <v>66</v>
      </c>
      <c r="D65" s="119"/>
    </row>
    <row r="66" spans="2:9" ht="15" customHeight="1">
      <c r="C66" s="119" t="s">
        <v>68</v>
      </c>
      <c r="D66" s="119"/>
    </row>
    <row r="67" spans="2:9" ht="15" customHeight="1">
      <c r="C67" s="119" t="s">
        <v>70</v>
      </c>
      <c r="D67" s="119"/>
    </row>
    <row r="68" spans="2:9" ht="15" customHeight="1">
      <c r="C68" s="119" t="s">
        <v>71</v>
      </c>
      <c r="D68" s="119"/>
    </row>
    <row r="69" spans="2:9" ht="15" customHeight="1">
      <c r="C69" s="119" t="s">
        <v>72</v>
      </c>
      <c r="D69" s="119"/>
    </row>
    <row r="70" spans="2:9" ht="30" customHeight="1">
      <c r="C70" s="120" t="s">
        <v>73</v>
      </c>
      <c r="D70" s="119"/>
    </row>
    <row r="71" spans="2:9" ht="30" customHeight="1">
      <c r="C71" s="120" t="s">
        <v>74</v>
      </c>
      <c r="D71" s="119"/>
    </row>
    <row r="72" spans="2:9" ht="15" customHeight="1">
      <c r="C72" s="119" t="s">
        <v>75</v>
      </c>
      <c r="D72" s="119"/>
    </row>
    <row r="73" spans="2:9" ht="15" customHeight="1">
      <c r="C73" s="119" t="s">
        <v>76</v>
      </c>
      <c r="D73" s="119"/>
    </row>
    <row r="74" spans="2:9" ht="15" customHeight="1">
      <c r="C74" s="119" t="s">
        <v>77</v>
      </c>
      <c r="D74" s="119"/>
    </row>
    <row r="75" spans="2:9">
      <c r="C75" s="121"/>
      <c r="D75" s="121"/>
      <c r="H75" s="245"/>
      <c r="I75" s="245"/>
    </row>
    <row r="76" spans="2:9">
      <c r="D76" s="121"/>
      <c r="H76" s="245"/>
      <c r="I76" s="245"/>
    </row>
    <row r="77" spans="2:9" ht="60.75" customHeight="1">
      <c r="B77" s="114" t="s">
        <v>271</v>
      </c>
      <c r="C77" s="109" t="s">
        <v>78</v>
      </c>
      <c r="D77" s="210"/>
      <c r="E77" s="97"/>
      <c r="H77" s="245"/>
      <c r="I77" s="245"/>
    </row>
    <row r="78" spans="2:9">
      <c r="D78" s="97"/>
      <c r="E78" s="97"/>
      <c r="H78" s="245"/>
      <c r="I78" s="245"/>
    </row>
    <row r="80" spans="2:9">
      <c r="B80" s="96" t="s">
        <v>272</v>
      </c>
      <c r="C80" s="243" t="s">
        <v>82</v>
      </c>
      <c r="D80" s="244"/>
    </row>
    <row r="81" spans="2:4">
      <c r="C81" s="235" t="s">
        <v>83</v>
      </c>
      <c r="D81" s="236"/>
    </row>
    <row r="82" spans="2:4">
      <c r="C82" s="237"/>
      <c r="D82" s="238"/>
    </row>
    <row r="83" spans="2:4">
      <c r="C83" s="239"/>
      <c r="D83" s="240"/>
    </row>
    <row r="84" spans="2:4">
      <c r="C84" s="122"/>
      <c r="D84" s="122"/>
    </row>
    <row r="85" spans="2:4" ht="33.75" customHeight="1">
      <c r="B85" s="114" t="s">
        <v>273</v>
      </c>
      <c r="C85" s="243" t="s">
        <v>208</v>
      </c>
      <c r="D85" s="244"/>
    </row>
    <row r="86" spans="2:4">
      <c r="C86" s="235" t="s">
        <v>83</v>
      </c>
      <c r="D86" s="236"/>
    </row>
    <row r="87" spans="2:4">
      <c r="C87" s="237"/>
      <c r="D87" s="238"/>
    </row>
    <row r="88" spans="2:4">
      <c r="C88" s="239"/>
      <c r="D88" s="240"/>
    </row>
    <row r="90" spans="2:4" ht="32.25" customHeight="1">
      <c r="B90" s="114" t="s">
        <v>277</v>
      </c>
      <c r="C90" s="243" t="s">
        <v>84</v>
      </c>
      <c r="D90" s="244"/>
    </row>
    <row r="91" spans="2:4" ht="15" customHeight="1">
      <c r="C91" s="235" t="s">
        <v>83</v>
      </c>
      <c r="D91" s="236"/>
    </row>
    <row r="92" spans="2:4">
      <c r="C92" s="237"/>
      <c r="D92" s="238"/>
    </row>
    <row r="93" spans="2:4">
      <c r="C93" s="239"/>
      <c r="D93" s="240"/>
    </row>
    <row r="94" spans="2:4">
      <c r="C94" s="122"/>
      <c r="D94" s="122"/>
    </row>
    <row r="95" spans="2:4" ht="33" customHeight="1">
      <c r="B95" s="114" t="s">
        <v>278</v>
      </c>
      <c r="C95" s="269" t="s">
        <v>85</v>
      </c>
      <c r="D95" s="269"/>
    </row>
    <row r="96" spans="2:4">
      <c r="C96" s="235" t="s">
        <v>83</v>
      </c>
      <c r="D96" s="236"/>
    </row>
    <row r="97" spans="2:9" ht="15" customHeight="1">
      <c r="C97" s="237"/>
      <c r="D97" s="238"/>
    </row>
    <row r="98" spans="2:9">
      <c r="C98" s="239"/>
      <c r="D98" s="240"/>
    </row>
    <row r="99" spans="2:9" ht="15" customHeight="1"/>
    <row r="100" spans="2:9" ht="63" customHeight="1">
      <c r="B100" s="114" t="s">
        <v>274</v>
      </c>
      <c r="C100" s="123" t="s">
        <v>90</v>
      </c>
      <c r="D100" s="210"/>
      <c r="E100" s="97"/>
    </row>
    <row r="101" spans="2:9" ht="15.75" customHeight="1"/>
    <row r="102" spans="2:9" ht="53.25" customHeight="1">
      <c r="B102" s="114" t="s">
        <v>275</v>
      </c>
      <c r="C102" s="123" t="s">
        <v>93</v>
      </c>
      <c r="D102" s="210"/>
      <c r="E102" s="97"/>
    </row>
    <row r="103" spans="2:9" ht="15" customHeight="1">
      <c r="C103" s="124"/>
      <c r="D103" s="117"/>
    </row>
    <row r="104" spans="2:9" ht="15" customHeight="1">
      <c r="B104" s="96" t="s">
        <v>276</v>
      </c>
      <c r="C104" s="234" t="s">
        <v>96</v>
      </c>
      <c r="D104" s="234"/>
    </row>
    <row r="105" spans="2:9" ht="15" customHeight="1">
      <c r="C105" s="263" t="s">
        <v>97</v>
      </c>
      <c r="D105" s="264"/>
    </row>
    <row r="106" spans="2:9">
      <c r="C106" s="265"/>
      <c r="D106" s="266"/>
    </row>
    <row r="107" spans="2:9">
      <c r="C107" s="267"/>
      <c r="D107" s="268"/>
      <c r="G107" s="125"/>
      <c r="H107" s="125"/>
      <c r="I107" s="125"/>
    </row>
    <row r="108" spans="2:9">
      <c r="C108" s="126"/>
      <c r="D108" s="126"/>
      <c r="G108" s="125"/>
      <c r="H108" s="125"/>
      <c r="I108" s="125"/>
    </row>
    <row r="109" spans="2:9" ht="18.75">
      <c r="C109" s="258" t="s">
        <v>98</v>
      </c>
      <c r="D109" s="259"/>
      <c r="E109" s="259"/>
      <c r="F109" s="259"/>
      <c r="G109" s="125"/>
      <c r="H109" s="125"/>
      <c r="I109" s="125"/>
    </row>
    <row r="110" spans="2:9">
      <c r="C110" s="126"/>
      <c r="D110" s="126"/>
      <c r="G110" s="125"/>
      <c r="H110" s="125"/>
      <c r="I110" s="125"/>
    </row>
    <row r="111" spans="2:9" ht="15.75" thickBot="1">
      <c r="C111" s="127" t="s">
        <v>99</v>
      </c>
      <c r="D111" s="126"/>
      <c r="G111" s="125"/>
      <c r="H111" s="125"/>
      <c r="I111" s="125"/>
    </row>
    <row r="112" spans="2:9">
      <c r="B112" s="128"/>
      <c r="C112" s="129"/>
      <c r="D112" s="129"/>
      <c r="E112" s="130"/>
      <c r="F112" s="131"/>
      <c r="G112" s="125"/>
      <c r="H112" s="125"/>
      <c r="I112" s="125"/>
    </row>
    <row r="113" spans="2:9" ht="75" customHeight="1">
      <c r="B113" s="132" t="s">
        <v>226</v>
      </c>
      <c r="C113" s="133"/>
      <c r="D113" s="134" t="s">
        <v>100</v>
      </c>
      <c r="E113" s="134" t="s">
        <v>101</v>
      </c>
      <c r="F113" s="135" t="s">
        <v>102</v>
      </c>
      <c r="G113" s="125"/>
      <c r="H113" s="136"/>
      <c r="I113" s="125"/>
    </row>
    <row r="114" spans="2:9">
      <c r="B114" s="137"/>
      <c r="C114" s="138" t="s">
        <v>103</v>
      </c>
      <c r="D114" s="139">
        <f>E114+F114</f>
        <v>65000</v>
      </c>
      <c r="E114" s="206">
        <v>50000</v>
      </c>
      <c r="F114" s="207">
        <v>15000</v>
      </c>
      <c r="G114" s="140">
        <f>(F114/100)*25</f>
        <v>3750</v>
      </c>
      <c r="H114" s="136"/>
      <c r="I114" s="125"/>
    </row>
    <row r="115" spans="2:9" ht="18.75" customHeight="1">
      <c r="B115" s="137"/>
      <c r="C115" s="141" t="s">
        <v>104</v>
      </c>
      <c r="D115" s="223">
        <f>(D114/D114)*1</f>
        <v>1</v>
      </c>
      <c r="E115" s="220">
        <f>E114/D114</f>
        <v>0.76923076923076927</v>
      </c>
      <c r="F115" s="221">
        <f>D115-E115</f>
        <v>0.23076923076923073</v>
      </c>
      <c r="G115" s="125"/>
      <c r="I115" s="125"/>
    </row>
    <row r="116" spans="2:9" ht="18.75" customHeight="1">
      <c r="B116" s="137"/>
      <c r="C116" s="133"/>
      <c r="D116" s="133"/>
      <c r="E116" s="133"/>
      <c r="F116" s="142"/>
      <c r="G116" s="125"/>
      <c r="H116" s="136"/>
      <c r="I116" s="125"/>
    </row>
    <row r="117" spans="2:9" ht="30.75" customHeight="1">
      <c r="B117" s="137" t="s">
        <v>227</v>
      </c>
      <c r="C117" s="248" t="s">
        <v>245</v>
      </c>
      <c r="D117" s="248"/>
      <c r="E117" s="248"/>
      <c r="F117" s="142"/>
      <c r="G117" s="125"/>
      <c r="H117" s="136"/>
      <c r="I117" s="125"/>
    </row>
    <row r="118" spans="2:9" ht="18.75" customHeight="1">
      <c r="B118" s="137"/>
      <c r="C118" s="143" t="s">
        <v>105</v>
      </c>
      <c r="D118" s="143" t="s">
        <v>106</v>
      </c>
      <c r="E118" s="144" t="s">
        <v>107</v>
      </c>
      <c r="F118" s="142"/>
      <c r="G118" s="125"/>
      <c r="H118" s="136"/>
      <c r="I118" s="125"/>
    </row>
    <row r="119" spans="2:9" ht="18.75" customHeight="1">
      <c r="B119" s="137"/>
      <c r="C119" s="143" t="s">
        <v>218</v>
      </c>
      <c r="D119" s="216">
        <v>2000</v>
      </c>
      <c r="E119" s="222">
        <f>$D119/$F$114</f>
        <v>0.13333333333333333</v>
      </c>
      <c r="F119" s="142"/>
      <c r="G119" s="125"/>
      <c r="H119" s="136"/>
      <c r="I119" s="125"/>
    </row>
    <row r="120" spans="2:9" ht="18.75" customHeight="1">
      <c r="B120" s="137"/>
      <c r="C120" s="143" t="s">
        <v>108</v>
      </c>
      <c r="D120" s="189">
        <v>5000</v>
      </c>
      <c r="E120" s="223">
        <f>$D120/$F$114</f>
        <v>0.33333333333333331</v>
      </c>
      <c r="F120" s="142"/>
      <c r="G120" s="125"/>
      <c r="H120" s="125"/>
      <c r="I120" s="125"/>
    </row>
    <row r="121" spans="2:9" ht="18.75" customHeight="1">
      <c r="B121" s="137"/>
      <c r="C121" s="143" t="s">
        <v>109</v>
      </c>
      <c r="D121" s="189">
        <v>10000</v>
      </c>
      <c r="E121" s="223">
        <f>$D121/$F$114</f>
        <v>0.66666666666666663</v>
      </c>
      <c r="F121" s="142"/>
      <c r="G121" s="125"/>
      <c r="H121" s="125"/>
      <c r="I121" s="125"/>
    </row>
    <row r="122" spans="2:9" ht="18.75" customHeight="1">
      <c r="B122" s="137"/>
      <c r="C122" s="143" t="s">
        <v>106</v>
      </c>
      <c r="D122" s="145">
        <f>SUM(D119:D121)</f>
        <v>17000</v>
      </c>
      <c r="E122" s="222">
        <f>$D122/$F$114</f>
        <v>1.1333333333333333</v>
      </c>
      <c r="F122" s="146"/>
      <c r="G122" s="125"/>
      <c r="H122" s="125"/>
      <c r="I122" s="125"/>
    </row>
    <row r="123" spans="2:9">
      <c r="B123" s="137"/>
      <c r="C123" s="133"/>
      <c r="D123" s="133"/>
      <c r="E123" s="190"/>
      <c r="F123" s="142"/>
      <c r="G123" s="125"/>
      <c r="H123" s="125"/>
      <c r="I123" s="125"/>
    </row>
    <row r="124" spans="2:9" ht="15.75" thickBot="1">
      <c r="B124" s="147"/>
      <c r="C124" s="148"/>
      <c r="D124" s="148"/>
      <c r="E124" s="149"/>
      <c r="F124" s="150"/>
      <c r="G124" s="125"/>
      <c r="H124" s="125"/>
      <c r="I124" s="125"/>
    </row>
    <row r="125" spans="2:9">
      <c r="B125" s="111"/>
      <c r="C125" s="151"/>
      <c r="D125" s="151"/>
      <c r="E125" s="111"/>
      <c r="F125" s="111"/>
      <c r="G125" s="125"/>
      <c r="H125" s="125"/>
      <c r="I125" s="125"/>
    </row>
    <row r="126" spans="2:9" ht="15.75" thickBot="1">
      <c r="B126" s="115"/>
      <c r="C126" s="152" t="s">
        <v>58</v>
      </c>
      <c r="G126" s="125"/>
      <c r="H126" s="125"/>
      <c r="I126" s="125"/>
    </row>
    <row r="127" spans="2:9">
      <c r="B127" s="153"/>
      <c r="C127" s="154"/>
      <c r="D127" s="155"/>
      <c r="E127" s="155"/>
      <c r="F127" s="155"/>
      <c r="G127" s="156"/>
      <c r="H127" s="136"/>
      <c r="I127" s="136"/>
    </row>
    <row r="128" spans="2:9">
      <c r="B128" s="157"/>
      <c r="C128" s="270" t="s">
        <v>110</v>
      </c>
      <c r="D128" s="271"/>
      <c r="E128" s="271"/>
      <c r="F128" s="271"/>
      <c r="G128" s="272"/>
    </row>
    <row r="129" spans="2:8" ht="48" customHeight="1">
      <c r="B129" s="157" t="s">
        <v>228</v>
      </c>
      <c r="C129" s="158" t="s">
        <v>111</v>
      </c>
      <c r="D129" s="134" t="s">
        <v>112</v>
      </c>
      <c r="E129" s="134" t="s">
        <v>113</v>
      </c>
      <c r="F129" s="159" t="s">
        <v>114</v>
      </c>
      <c r="G129" s="160" t="s">
        <v>115</v>
      </c>
    </row>
    <row r="130" spans="2:8">
      <c r="B130" s="157"/>
      <c r="C130" s="143" t="s">
        <v>116</v>
      </c>
      <c r="D130" s="201">
        <v>200000</v>
      </c>
      <c r="E130" s="201">
        <v>50000</v>
      </c>
      <c r="F130" s="161">
        <f>E130+D130</f>
        <v>250000</v>
      </c>
      <c r="G130" s="162">
        <f>$F130/$F$134</f>
        <v>0.8</v>
      </c>
    </row>
    <row r="131" spans="2:8" ht="30">
      <c r="B131" s="157"/>
      <c r="C131" s="143" t="s">
        <v>117</v>
      </c>
      <c r="D131" s="201">
        <v>40000</v>
      </c>
      <c r="E131" s="201">
        <v>10000</v>
      </c>
      <c r="F131" s="161">
        <f>E131+D131</f>
        <v>50000</v>
      </c>
      <c r="G131" s="162">
        <f>$F131/$F$134</f>
        <v>0.16</v>
      </c>
    </row>
    <row r="132" spans="2:8" ht="62.25" customHeight="1">
      <c r="B132" s="157"/>
      <c r="C132" s="163" t="s">
        <v>118</v>
      </c>
      <c r="D132" s="201">
        <v>10000</v>
      </c>
      <c r="E132" s="201">
        <v>2500</v>
      </c>
      <c r="F132" s="161">
        <f>E132+D132</f>
        <v>12500</v>
      </c>
      <c r="G132" s="162">
        <f>$F132/$F$134</f>
        <v>0.04</v>
      </c>
    </row>
    <row r="133" spans="2:8">
      <c r="B133" s="157"/>
      <c r="C133" s="143" t="s">
        <v>119</v>
      </c>
      <c r="D133" s="203">
        <v>0</v>
      </c>
      <c r="E133" s="203">
        <v>0</v>
      </c>
      <c r="F133" s="161">
        <f>E133+D133</f>
        <v>0</v>
      </c>
      <c r="G133" s="162">
        <f>$F133/$F$134</f>
        <v>0</v>
      </c>
    </row>
    <row r="134" spans="2:8">
      <c r="B134" s="157"/>
      <c r="C134" s="164" t="s">
        <v>120</v>
      </c>
      <c r="D134" s="161">
        <f>SUM(D130:D133)</f>
        <v>250000</v>
      </c>
      <c r="E134" s="161">
        <f>SUM(E130:E133)</f>
        <v>62500</v>
      </c>
      <c r="F134" s="161">
        <f>E134+D134</f>
        <v>312500</v>
      </c>
      <c r="G134" s="162">
        <f>SUM(G130:G133)</f>
        <v>1</v>
      </c>
      <c r="H134" s="125">
        <f>(F134/100)*20</f>
        <v>62500</v>
      </c>
    </row>
    <row r="135" spans="2:8">
      <c r="B135" s="157"/>
      <c r="C135" s="110" t="s">
        <v>107</v>
      </c>
      <c r="D135" s="224">
        <f>D134/F134</f>
        <v>0.8</v>
      </c>
      <c r="E135" s="224">
        <f>E134/F134</f>
        <v>0.2</v>
      </c>
      <c r="F135" s="223">
        <f>SUM(D135+E135)</f>
        <v>1</v>
      </c>
      <c r="G135" s="165"/>
    </row>
    <row r="136" spans="2:8">
      <c r="B136" s="157"/>
      <c r="C136" s="166"/>
      <c r="D136" s="167"/>
      <c r="E136" s="167"/>
      <c r="F136" s="167"/>
      <c r="G136" s="165"/>
    </row>
    <row r="137" spans="2:8" ht="34.5" customHeight="1">
      <c r="B137" s="157" t="s">
        <v>229</v>
      </c>
      <c r="C137" s="231" t="s">
        <v>283</v>
      </c>
      <c r="D137" s="232"/>
      <c r="E137" s="233"/>
      <c r="F137" s="167"/>
      <c r="G137" s="165"/>
    </row>
    <row r="138" spans="2:8">
      <c r="B138" s="157"/>
      <c r="C138" s="143" t="s">
        <v>105</v>
      </c>
      <c r="D138" s="143" t="s">
        <v>106</v>
      </c>
      <c r="E138" s="144" t="s">
        <v>107</v>
      </c>
      <c r="F138" s="167"/>
      <c r="G138" s="165"/>
    </row>
    <row r="139" spans="2:8">
      <c r="B139" s="157"/>
      <c r="C139" s="143" t="s">
        <v>218</v>
      </c>
      <c r="D139" s="189">
        <v>60000</v>
      </c>
      <c r="E139" s="169">
        <f>$D139/$E$134</f>
        <v>0.96</v>
      </c>
      <c r="F139" s="168">
        <f>(E134/100)*25</f>
        <v>15625</v>
      </c>
      <c r="G139" s="165"/>
    </row>
    <row r="140" spans="2:8">
      <c r="B140" s="157"/>
      <c r="C140" s="143" t="s">
        <v>108</v>
      </c>
      <c r="D140" s="189">
        <v>2500</v>
      </c>
      <c r="E140" s="169">
        <f>$D140/$E$134</f>
        <v>0.04</v>
      </c>
      <c r="F140" s="167"/>
      <c r="G140" s="165"/>
    </row>
    <row r="141" spans="2:8">
      <c r="B141" s="157"/>
      <c r="C141" s="143" t="s">
        <v>109</v>
      </c>
      <c r="D141" s="195"/>
      <c r="E141" s="169">
        <f>$D141/$E$134</f>
        <v>0</v>
      </c>
      <c r="F141" s="167"/>
      <c r="G141" s="165"/>
    </row>
    <row r="142" spans="2:8">
      <c r="B142" s="157"/>
      <c r="C142" s="143" t="s">
        <v>106</v>
      </c>
      <c r="D142" s="145">
        <f>SUM(D139:D141)</f>
        <v>62500</v>
      </c>
      <c r="E142" s="169">
        <f>$D142/$E$134</f>
        <v>1</v>
      </c>
      <c r="F142" s="167"/>
      <c r="G142" s="165"/>
    </row>
    <row r="143" spans="2:8" ht="15.75" thickBot="1">
      <c r="B143" s="170"/>
      <c r="C143" s="171"/>
      <c r="D143" s="172"/>
      <c r="E143" s="173"/>
      <c r="F143" s="172"/>
      <c r="G143" s="174"/>
    </row>
    <row r="144" spans="2:8">
      <c r="C144" s="175"/>
    </row>
    <row r="145" spans="2:6" ht="18.75">
      <c r="C145" s="258" t="s">
        <v>222</v>
      </c>
      <c r="D145" s="259"/>
      <c r="E145" s="259"/>
      <c r="F145" s="259"/>
    </row>
    <row r="146" spans="2:6">
      <c r="B146" s="117"/>
      <c r="C146" s="175"/>
      <c r="D146" s="117"/>
    </row>
    <row r="147" spans="2:6" ht="60.75" customHeight="1">
      <c r="B147" s="176" t="s">
        <v>230</v>
      </c>
      <c r="C147" s="273" t="s">
        <v>121</v>
      </c>
      <c r="D147" s="274"/>
    </row>
    <row r="148" spans="2:6">
      <c r="B148" s="117"/>
      <c r="C148" s="118" t="s">
        <v>122</v>
      </c>
      <c r="D148" s="177"/>
    </row>
    <row r="149" spans="2:6">
      <c r="B149" s="117"/>
      <c r="C149" s="119" t="s">
        <v>123</v>
      </c>
      <c r="D149" s="178"/>
    </row>
    <row r="150" spans="2:6">
      <c r="B150" s="117"/>
      <c r="C150" s="119" t="s">
        <v>124</v>
      </c>
      <c r="D150" s="178"/>
      <c r="E150" s="115"/>
    </row>
    <row r="151" spans="2:6">
      <c r="B151" s="117"/>
      <c r="C151" s="119" t="s">
        <v>125</v>
      </c>
      <c r="D151" s="178"/>
    </row>
    <row r="152" spans="2:6">
      <c r="B152" s="117"/>
      <c r="C152" s="119" t="s">
        <v>126</v>
      </c>
      <c r="D152" s="178"/>
    </row>
    <row r="153" spans="2:6">
      <c r="B153" s="117"/>
      <c r="C153" s="119" t="s">
        <v>127</v>
      </c>
      <c r="D153" s="178"/>
      <c r="E153" s="117"/>
    </row>
    <row r="154" spans="2:6">
      <c r="B154" s="117"/>
      <c r="C154" s="175"/>
      <c r="D154" s="117"/>
      <c r="E154" s="117"/>
    </row>
    <row r="155" spans="2:6" ht="58.5" customHeight="1">
      <c r="B155" s="176" t="s">
        <v>231</v>
      </c>
      <c r="C155" s="273" t="s">
        <v>128</v>
      </c>
      <c r="D155" s="274"/>
      <c r="E155" s="179"/>
    </row>
    <row r="156" spans="2:6">
      <c r="B156" s="117"/>
      <c r="C156" s="180" t="s">
        <v>129</v>
      </c>
      <c r="D156" s="181"/>
      <c r="E156" s="117"/>
    </row>
    <row r="157" spans="2:6">
      <c r="B157" s="117"/>
      <c r="C157" s="119" t="s">
        <v>130</v>
      </c>
      <c r="D157" s="178"/>
      <c r="E157" s="117"/>
    </row>
    <row r="158" spans="2:6" ht="30">
      <c r="B158" s="117"/>
      <c r="C158" s="120" t="s">
        <v>131</v>
      </c>
      <c r="D158" s="178"/>
      <c r="E158" s="117"/>
    </row>
    <row r="159" spans="2:6">
      <c r="B159" s="117"/>
      <c r="C159" s="119" t="s">
        <v>132</v>
      </c>
      <c r="D159" s="178"/>
      <c r="E159" s="117"/>
    </row>
    <row r="160" spans="2:6">
      <c r="B160" s="117"/>
      <c r="C160" s="119" t="s">
        <v>133</v>
      </c>
      <c r="D160" s="178"/>
      <c r="E160" s="117"/>
    </row>
    <row r="161" spans="2:11">
      <c r="B161" s="117"/>
      <c r="C161" s="119" t="s">
        <v>134</v>
      </c>
      <c r="D161" s="178"/>
      <c r="E161" s="117"/>
    </row>
    <row r="162" spans="2:11">
      <c r="B162" s="117"/>
      <c r="C162" s="119" t="s">
        <v>135</v>
      </c>
      <c r="D162" s="178"/>
      <c r="E162" s="117"/>
    </row>
    <row r="163" spans="2:11">
      <c r="B163" s="117"/>
      <c r="C163" s="119" t="s">
        <v>136</v>
      </c>
      <c r="D163" s="178"/>
      <c r="E163" s="117"/>
    </row>
    <row r="164" spans="2:11">
      <c r="B164" s="117"/>
      <c r="C164" s="119" t="s">
        <v>137</v>
      </c>
      <c r="D164" s="178"/>
      <c r="E164" s="117"/>
    </row>
    <row r="166" spans="2:11">
      <c r="B166" s="96" t="s">
        <v>232</v>
      </c>
      <c r="C166" s="103" t="s">
        <v>138</v>
      </c>
      <c r="D166" s="186"/>
      <c r="G166" s="117"/>
    </row>
    <row r="168" spans="2:11">
      <c r="B168" s="96" t="s">
        <v>233</v>
      </c>
      <c r="C168" s="103" t="s">
        <v>139</v>
      </c>
      <c r="D168" s="186"/>
    </row>
    <row r="170" spans="2:11" ht="18.75">
      <c r="B170" s="96" t="s">
        <v>279</v>
      </c>
      <c r="C170" s="103" t="s">
        <v>247</v>
      </c>
      <c r="D170" s="215"/>
      <c r="E170" s="105"/>
    </row>
    <row r="172" spans="2:11" ht="51" customHeight="1">
      <c r="B172" s="114" t="s">
        <v>280</v>
      </c>
      <c r="C172" s="109" t="s">
        <v>141</v>
      </c>
      <c r="D172" s="204"/>
      <c r="E172" s="202"/>
    </row>
    <row r="174" spans="2:11" hidden="1">
      <c r="C174" s="234" t="s">
        <v>142</v>
      </c>
      <c r="D174" s="234" t="s">
        <v>143</v>
      </c>
      <c r="E174" s="261" t="s">
        <v>144</v>
      </c>
      <c r="F174" s="234" t="s">
        <v>145</v>
      </c>
      <c r="G174" s="234" t="s">
        <v>146</v>
      </c>
      <c r="H174" s="234"/>
      <c r="I174" s="241" t="s">
        <v>147</v>
      </c>
      <c r="J174" s="241" t="s">
        <v>148</v>
      </c>
      <c r="K174" s="97"/>
    </row>
    <row r="175" spans="2:11" ht="60" hidden="1" customHeight="1">
      <c r="B175" s="114" t="s">
        <v>234</v>
      </c>
      <c r="C175" s="234"/>
      <c r="D175" s="234"/>
      <c r="E175" s="262"/>
      <c r="F175" s="234"/>
      <c r="G175" s="182" t="s">
        <v>149</v>
      </c>
      <c r="H175" s="182" t="s">
        <v>150</v>
      </c>
      <c r="I175" s="242"/>
      <c r="J175" s="242"/>
      <c r="K175" s="97"/>
    </row>
    <row r="176" spans="2:11" hidden="1">
      <c r="C176" s="191"/>
      <c r="D176" s="191"/>
      <c r="E176" s="191"/>
      <c r="F176" s="191"/>
      <c r="G176" s="196"/>
      <c r="H176" s="196"/>
      <c r="I176" s="196"/>
      <c r="J176" s="191"/>
    </row>
    <row r="177" spans="2:10" hidden="1">
      <c r="C177" s="191"/>
      <c r="D177" s="191"/>
      <c r="E177" s="191"/>
      <c r="F177" s="191"/>
      <c r="G177" s="196"/>
      <c r="H177" s="196"/>
      <c r="I177" s="196"/>
      <c r="J177" s="191"/>
    </row>
    <row r="178" spans="2:10" hidden="1">
      <c r="C178" s="191"/>
      <c r="D178" s="191"/>
      <c r="E178" s="191"/>
      <c r="F178" s="191"/>
      <c r="G178" s="196"/>
      <c r="H178" s="196"/>
      <c r="I178" s="196"/>
      <c r="J178" s="191"/>
    </row>
    <row r="179" spans="2:10" hidden="1">
      <c r="C179" s="192"/>
      <c r="D179" s="192"/>
      <c r="E179" s="191"/>
      <c r="F179" s="192"/>
      <c r="G179" s="197"/>
      <c r="H179" s="197"/>
      <c r="I179" s="197"/>
      <c r="J179" s="191"/>
    </row>
    <row r="181" spans="2:10" ht="27" customHeight="1">
      <c r="B181" s="96" t="s">
        <v>281</v>
      </c>
      <c r="C181" s="123" t="s">
        <v>151</v>
      </c>
      <c r="D181" s="205"/>
      <c r="E181" s="202"/>
    </row>
    <row r="183" spans="2:10" hidden="1">
      <c r="C183" s="247" t="s">
        <v>152</v>
      </c>
      <c r="D183" s="247"/>
      <c r="E183" s="247"/>
      <c r="F183" s="247"/>
    </row>
    <row r="184" spans="2:10" ht="44.25" hidden="1" customHeight="1">
      <c r="B184" s="114" t="s">
        <v>235</v>
      </c>
      <c r="C184" s="183" t="s">
        <v>153</v>
      </c>
      <c r="D184" s="184" t="s">
        <v>154</v>
      </c>
      <c r="E184" s="184" t="s">
        <v>155</v>
      </c>
      <c r="F184" s="184" t="s">
        <v>156</v>
      </c>
    </row>
    <row r="185" spans="2:10" hidden="1">
      <c r="C185" s="193"/>
      <c r="D185" s="198" t="s">
        <v>248</v>
      </c>
      <c r="E185" s="194"/>
      <c r="F185" s="217"/>
    </row>
    <row r="186" spans="2:10" hidden="1">
      <c r="C186" s="193"/>
      <c r="D186" s="198" t="s">
        <v>248</v>
      </c>
      <c r="E186" s="194"/>
      <c r="F186" s="217"/>
    </row>
    <row r="187" spans="2:10" hidden="1">
      <c r="C187" s="193"/>
      <c r="D187" s="198"/>
      <c r="E187" s="194"/>
      <c r="F187" s="219"/>
    </row>
    <row r="188" spans="2:10" hidden="1">
      <c r="C188" s="193"/>
      <c r="D188" s="199"/>
      <c r="E188" s="193"/>
      <c r="F188" s="218"/>
    </row>
    <row r="193" spans="2:9" ht="45" customHeight="1">
      <c r="B193" s="114" t="s">
        <v>282</v>
      </c>
      <c r="C193" s="109" t="s">
        <v>157</v>
      </c>
      <c r="D193" s="209"/>
      <c r="E193" s="227"/>
      <c r="F193" s="228"/>
      <c r="G193" s="228"/>
      <c r="H193" s="228"/>
      <c r="I193" s="228"/>
    </row>
    <row r="194" spans="2:9">
      <c r="E194" s="260"/>
      <c r="F194" s="260"/>
      <c r="G194" s="260"/>
      <c r="H194" s="260"/>
      <c r="I194" s="260"/>
    </row>
    <row r="195" spans="2:9">
      <c r="E195" s="260"/>
      <c r="F195" s="260"/>
      <c r="G195" s="260"/>
      <c r="H195" s="260"/>
      <c r="I195" s="260"/>
    </row>
    <row r="196" spans="2:9">
      <c r="C196" s="185"/>
    </row>
  </sheetData>
  <sheetProtection password="86F2" sheet="1" objects="1" scenarios="1" formatCells="0" formatRows="0"/>
  <dataConsolidate/>
  <mergeCells count="38">
    <mergeCell ref="J174:J175"/>
    <mergeCell ref="C91:D93"/>
    <mergeCell ref="C96:D98"/>
    <mergeCell ref="C95:D95"/>
    <mergeCell ref="C104:D104"/>
    <mergeCell ref="C128:G128"/>
    <mergeCell ref="C155:D155"/>
    <mergeCell ref="F174:F175"/>
    <mergeCell ref="C147:D147"/>
    <mergeCell ref="C90:D90"/>
    <mergeCell ref="E194:I195"/>
    <mergeCell ref="C174:C175"/>
    <mergeCell ref="D174:D175"/>
    <mergeCell ref="E174:E175"/>
    <mergeCell ref="C105:D107"/>
    <mergeCell ref="C109:F109"/>
    <mergeCell ref="C145:F145"/>
    <mergeCell ref="D6:E6"/>
    <mergeCell ref="C26:C27"/>
    <mergeCell ref="D26:F27"/>
    <mergeCell ref="C34:F34"/>
    <mergeCell ref="C51:F51"/>
    <mergeCell ref="C57:D57"/>
    <mergeCell ref="E193:I193"/>
    <mergeCell ref="C8:F8"/>
    <mergeCell ref="C137:E137"/>
    <mergeCell ref="C55:D56"/>
    <mergeCell ref="C86:D88"/>
    <mergeCell ref="G174:H174"/>
    <mergeCell ref="I174:I175"/>
    <mergeCell ref="C81:D83"/>
    <mergeCell ref="C85:D85"/>
    <mergeCell ref="H75:I78"/>
    <mergeCell ref="G57:H58"/>
    <mergeCell ref="C80:D80"/>
    <mergeCell ref="C183:F183"/>
    <mergeCell ref="C59:D60"/>
    <mergeCell ref="C117:E117"/>
  </mergeCells>
  <conditionalFormatting sqref="D135">
    <cfRule type="cellIs" dxfId="46" priority="24" operator="greaterThan">
      <formula>0.8</formula>
    </cfRule>
    <cfRule type="cellIs" dxfId="45" priority="25" operator="lessThanOrEqual">
      <formula>0.8</formula>
    </cfRule>
  </conditionalFormatting>
  <conditionalFormatting sqref="E135">
    <cfRule type="cellIs" dxfId="44" priority="22" operator="greaterThanOrEqual">
      <formula>0.2</formula>
    </cfRule>
    <cfRule type="cellIs" dxfId="43" priority="23" operator="lessThan">
      <formula>0.2</formula>
    </cfRule>
  </conditionalFormatting>
  <conditionalFormatting sqref="D142">
    <cfRule type="cellIs" dxfId="42" priority="20" operator="notEqual">
      <formula>$E$134</formula>
    </cfRule>
    <cfRule type="cellIs" dxfId="41" priority="21" operator="equal">
      <formula>$E$134</formula>
    </cfRule>
  </conditionalFormatting>
  <conditionalFormatting sqref="D122">
    <cfRule type="cellIs" dxfId="40" priority="18" operator="equal">
      <formula>$F$114</formula>
    </cfRule>
    <cfRule type="cellIs" dxfId="39" priority="19" stopIfTrue="1" operator="notEqual">
      <formula>$F$114</formula>
    </cfRule>
  </conditionalFormatting>
  <conditionalFormatting sqref="D119">
    <cfRule type="cellIs" dxfId="38" priority="16" operator="greaterThanOrEqual">
      <formula>$G$114</formula>
    </cfRule>
    <cfRule type="cellIs" dxfId="37" priority="17" operator="lessThan">
      <formula>$G$114</formula>
    </cfRule>
  </conditionalFormatting>
  <conditionalFormatting sqref="D139">
    <cfRule type="cellIs" dxfId="36" priority="14" operator="greaterThanOrEqual">
      <formula>$F$139</formula>
    </cfRule>
    <cfRule type="cellIs" dxfId="35" priority="15" operator="lessThan">
      <formula>$F$139</formula>
    </cfRule>
  </conditionalFormatting>
  <conditionalFormatting sqref="F115">
    <cfRule type="cellIs" dxfId="34" priority="13" operator="lessThan">
      <formula>0.2</formula>
    </cfRule>
  </conditionalFormatting>
  <conditionalFormatting sqref="E119 E139">
    <cfRule type="cellIs" dxfId="33" priority="11" stopIfTrue="1" operator="lessThan">
      <formula>0.25</formula>
    </cfRule>
    <cfRule type="cellIs" dxfId="32" priority="12" stopIfTrue="1" operator="greaterThanOrEqual">
      <formula>0.25</formula>
    </cfRule>
  </conditionalFormatting>
  <conditionalFormatting sqref="E122 E142">
    <cfRule type="cellIs" dxfId="31" priority="9" stopIfTrue="1" operator="notEqual">
      <formula>1</formula>
    </cfRule>
    <cfRule type="cellIs" dxfId="30" priority="10" stopIfTrue="1" operator="equal">
      <formula>1</formula>
    </cfRule>
  </conditionalFormatting>
  <conditionalFormatting sqref="D134">
    <cfRule type="cellIs" dxfId="29" priority="7" stopIfTrue="1" operator="greaterThan">
      <formula>250000</formula>
    </cfRule>
    <cfRule type="cellIs" dxfId="28" priority="8" stopIfTrue="1" operator="lessThanOrEqual">
      <formula>250000</formula>
    </cfRule>
  </conditionalFormatting>
  <conditionalFormatting sqref="E134">
    <cfRule type="cellIs" dxfId="27" priority="1" stopIfTrue="1" operator="greaterThanOrEqual">
      <formula>$H$134</formula>
    </cfRule>
    <cfRule type="cellIs" dxfId="26" priority="2" stopIfTrue="1" operator="lessThan">
      <formula>$H$134</formula>
    </cfRule>
  </conditionalFormatting>
  <dataValidations count="14">
    <dataValidation type="list" allowBlank="1" showInputMessage="1" showErrorMessage="1" sqref="UYB983088 UOF983088 UEJ983088 TUN983088 TKR983088 TAV983088 SQZ983088 SHD983088 RXH983088 RNL983088 RDP983088 QTT983088 QJX983088 QAB983088 PQF983088 PGJ983088 OWN983088 OMR983088 OCV983088 NSZ983088 NJD983088 MZH983088 MPL983088 MFP983088 LVT983088 LLX983088 LCB983088 KSF983088 KIJ983088 JYN983088 JOR983088 JEV983088 IUZ983088 ILD983088 IBH983088 HRL983088 HHP983088 GXT983088 GNX983088 GEB983088 FUF983088 FKJ983088 FAN983088 EQR983088 EGV983088 DWZ983088 DND983088 DDH983088 CTL983088 CJP983088 BZT983088 BPX983088 BGB983088 AWF983088 AMJ983088 ACN983088 SR983088 IV983088 D983088 WVH917552 WLL917552 WBP917552 VRT917552 VHX917552 UYB917552 UOF917552 UEJ917552 TUN917552 TKR917552 TAV917552 SQZ917552 SHD917552 RXH917552 RNL917552 RDP917552 QTT917552 QJX917552 QAB917552 PQF917552 PGJ917552 OWN917552 OMR917552 OCV917552 NSZ917552 NJD917552 MZH917552 MPL917552 MFP917552 LVT917552 LLX917552 LCB917552 KSF917552 KIJ917552 JYN917552 JOR917552 JEV917552 IUZ917552 ILD917552 IBH917552 HRL917552 HHP917552 GXT917552 GNX917552 GEB917552 FUF917552 FKJ917552 FAN917552 EQR917552 EGV917552 DWZ917552 DND917552 DDH917552 CTL917552 CJP917552 BZT917552 BPX917552 BGB917552 AWF917552 AMJ917552 ACN917552 SR917552 IV917552 D917552 WVH852016 WLL852016 WBP852016 VRT852016 VHX852016 UYB852016 UOF852016 UEJ852016 TUN852016 TKR852016 TAV852016 SQZ852016 SHD852016 RXH852016 RNL852016 RDP852016 QTT852016 QJX852016 QAB852016 PQF852016 PGJ852016 OWN852016 OMR852016 OCV852016 NSZ852016 NJD852016 MZH852016 MPL852016 MFP852016 LVT852016 LLX852016 LCB852016 KSF852016 KIJ852016 JYN852016 JOR852016 JEV852016 IUZ852016 ILD852016 IBH852016 HRL852016 HHP852016 GXT852016 GNX852016 GEB852016 FUF852016 FKJ852016 FAN852016 EQR852016 EGV852016 DWZ852016 DND852016 DDH852016 CTL852016 CJP852016 BZT852016 BPX852016 BGB852016 AWF852016 AMJ852016 ACN852016 SR852016 IV852016 D852016 WVH786480 WLL786480 WBP786480 VRT786480 VHX786480 UYB786480 UOF786480 UEJ786480 TUN786480 TKR786480 TAV786480 SQZ786480 SHD786480 RXH786480 RNL786480 RDP786480 QTT786480 QJX786480 QAB786480 PQF786480 PGJ786480 OWN786480 OMR786480 OCV786480 NSZ786480 NJD786480 MZH786480 MPL786480 MFP786480 LVT786480 LLX786480 LCB786480 KSF786480 KIJ786480 JYN786480 JOR786480 JEV786480 IUZ786480 ILD786480 IBH786480 HRL786480 HHP786480 GXT786480 GNX786480 GEB786480 FUF786480 FKJ786480 FAN786480 EQR786480 EGV786480 DWZ786480 DND786480 DDH786480 CTL786480 CJP786480 BZT786480 BPX786480 BGB786480 AWF786480 AMJ786480 ACN786480 SR786480 IV786480 D786480 WVH720944 WLL720944 WBP720944 VRT720944 VHX720944 UYB720944 UOF720944 UEJ720944 TUN720944 TKR720944 TAV720944 SQZ720944 SHD720944 RXH720944 RNL720944 RDP720944 QTT720944 QJX720944 QAB720944 PQF720944 PGJ720944 OWN720944 OMR720944 OCV720944 NSZ720944 NJD720944 MZH720944 MPL720944 MFP720944 LVT720944 LLX720944 LCB720944 KSF720944 KIJ720944 JYN720944 JOR720944 JEV720944 IUZ720944 ILD720944 IBH720944 HRL720944 HHP720944 GXT720944 GNX720944 GEB720944 FUF720944 FKJ720944 FAN720944 EQR720944 EGV720944 DWZ720944 DND720944 DDH720944 CTL720944 CJP720944 BZT720944 BPX720944 BGB720944 AWF720944 AMJ720944 ACN720944 SR720944 IV720944 D720944 WVH655408 WLL655408 WBP655408 VRT655408 VHX655408 UYB655408 UOF655408 UEJ655408 TUN655408 TKR655408 TAV655408 SQZ655408 SHD655408 RXH655408 RNL655408 RDP655408 QTT655408 QJX655408 QAB655408 PQF655408 PGJ655408 OWN655408 OMR655408 OCV655408 NSZ655408 NJD655408 MZH655408 MPL655408 MFP655408 LVT655408 LLX655408 LCB655408 KSF655408 KIJ655408 JYN655408 JOR655408 JEV655408 IUZ655408 ILD655408 IBH655408 HRL655408 HHP655408 GXT655408 GNX655408 GEB655408 FUF655408 FKJ655408 FAN655408 EQR655408 EGV655408 DWZ655408 DND655408 DDH655408 CTL655408 CJP655408 BZT655408 BPX655408 BGB655408 AWF655408 AMJ655408 ACN655408 SR655408 IV655408 D655408 WVH589872 WLL589872 WBP589872 VRT589872 VHX589872 UYB589872 UOF589872 UEJ589872 TUN589872 TKR589872 TAV589872 SQZ589872 SHD589872 RXH589872 RNL589872 RDP589872 QTT589872 QJX589872 QAB589872 PQF589872 PGJ589872 OWN589872 OMR589872 OCV589872 NSZ589872 NJD589872 MZH589872 MPL589872 MFP589872 LVT589872 LLX589872 LCB589872 KSF589872 KIJ589872 JYN589872 JOR589872 JEV589872 IUZ589872 ILD589872 IBH589872 HRL589872 HHP589872 GXT589872 GNX589872 GEB589872 FUF589872 FKJ589872 FAN589872 EQR589872 EGV589872 DWZ589872 DND589872 DDH589872 CTL589872 CJP589872 BZT589872 BPX589872 BGB589872 AWF589872 AMJ589872 ACN589872 SR589872 IV589872 D589872 WVH524336 WLL524336 WBP524336 VRT524336 VHX524336 UYB524336 UOF524336 UEJ524336 TUN524336 TKR524336 TAV524336 SQZ524336 SHD524336 RXH524336 RNL524336 RDP524336 QTT524336 QJX524336 QAB524336 PQF524336 PGJ524336 OWN524336 OMR524336 OCV524336 NSZ524336 NJD524336 MZH524336 MPL524336 MFP524336 LVT524336 LLX524336 LCB524336 KSF524336 KIJ524336 JYN524336 JOR524336 JEV524336 IUZ524336 ILD524336 IBH524336 HRL524336 HHP524336 GXT524336 GNX524336 GEB524336 FUF524336 FKJ524336 FAN524336 EQR524336 EGV524336 DWZ524336 DND524336 DDH524336 CTL524336 CJP524336 BZT524336 BPX524336 BGB524336 AWF524336 AMJ524336 ACN524336 SR524336 IV524336 D524336 WVH458800 WLL458800 WBP458800 VRT458800 VHX458800 UYB458800 UOF458800 UEJ458800 TUN458800 TKR458800 TAV458800 SQZ458800 SHD458800 RXH458800 RNL458800 RDP458800 QTT458800 QJX458800 QAB458800 PQF458800 PGJ458800 OWN458800 OMR458800 OCV458800 NSZ458800 NJD458800 MZH458800 MPL458800 MFP458800 LVT458800 LLX458800 LCB458800 KSF458800 KIJ458800 JYN458800 JOR458800 JEV458800 IUZ458800 ILD458800 IBH458800 HRL458800 HHP458800 GXT458800 GNX458800 GEB458800 FUF458800 FKJ458800 FAN458800 EQR458800 EGV458800 DWZ458800 DND458800 DDH458800 CTL458800 CJP458800 BZT458800 BPX458800 BGB458800 AWF458800 AMJ458800 ACN458800 SR458800 IV458800 D458800 WVH393264 WLL393264 WBP393264 VRT393264 VHX393264 UYB393264 UOF393264 UEJ393264 TUN393264 TKR393264 TAV393264 SQZ393264 SHD393264 RXH393264 RNL393264 RDP393264 QTT393264 QJX393264 QAB393264 PQF393264 PGJ393264 OWN393264 OMR393264 OCV393264 NSZ393264 NJD393264 MZH393264 MPL393264 MFP393264 LVT393264 LLX393264 LCB393264 KSF393264 KIJ393264 JYN393264 JOR393264 JEV393264 IUZ393264 ILD393264 IBH393264 HRL393264 HHP393264 GXT393264 GNX393264 GEB393264 FUF393264 FKJ393264 FAN393264 EQR393264 EGV393264 DWZ393264 DND393264 DDH393264 CTL393264 CJP393264 BZT393264 BPX393264 BGB393264 AWF393264 AMJ393264 ACN393264 SR393264 IV393264 D393264 WVH327728 WLL327728 WBP327728 VRT327728 VHX327728 UYB327728 UOF327728 UEJ327728 TUN327728 TKR327728 TAV327728 SQZ327728 SHD327728 RXH327728 RNL327728 RDP327728 QTT327728 QJX327728 QAB327728 PQF327728 PGJ327728 OWN327728 OMR327728 OCV327728 NSZ327728 NJD327728 MZH327728 MPL327728 MFP327728 LVT327728 LLX327728 LCB327728 KSF327728 KIJ327728 JYN327728 JOR327728 JEV327728 IUZ327728 ILD327728 IBH327728 HRL327728 HHP327728 GXT327728 GNX327728 GEB327728 FUF327728 FKJ327728 FAN327728 EQR327728 EGV327728 DWZ327728 DND327728 DDH327728 CTL327728 CJP327728 BZT327728 BPX327728 BGB327728 AWF327728 AMJ327728 ACN327728 SR327728 IV327728 D327728 WVH262192 WLL262192 WBP262192 VRT262192 VHX262192 UYB262192 UOF262192 UEJ262192 TUN262192 TKR262192 TAV262192 SQZ262192 SHD262192 RXH262192 RNL262192 RDP262192 QTT262192 QJX262192 QAB262192 PQF262192 PGJ262192 OWN262192 OMR262192 OCV262192 NSZ262192 NJD262192 MZH262192 MPL262192 MFP262192 LVT262192 LLX262192 LCB262192 KSF262192 KIJ262192 JYN262192 JOR262192 JEV262192 IUZ262192 ILD262192 IBH262192 HRL262192 HHP262192 GXT262192 GNX262192 GEB262192 FUF262192 FKJ262192 FAN262192 EQR262192 EGV262192 DWZ262192 DND262192 DDH262192 CTL262192 CJP262192 BZT262192 BPX262192 BGB262192 AWF262192 AMJ262192 ACN262192 SR262192 IV262192 D262192 WVH196656 WLL196656 WBP196656 VRT196656 VHX196656 UYB196656 UOF196656 UEJ196656 TUN196656 TKR196656 TAV196656 SQZ196656 SHD196656 RXH196656 RNL196656 RDP196656 QTT196656 QJX196656 QAB196656 PQF196656 PGJ196656 OWN196656 OMR196656 OCV196656 NSZ196656 NJD196656 MZH196656 MPL196656 MFP196656 LVT196656 LLX196656 LCB196656 KSF196656 KIJ196656 JYN196656 JOR196656 JEV196656 IUZ196656 ILD196656 IBH196656 HRL196656 HHP196656 GXT196656 GNX196656 GEB196656 FUF196656 FKJ196656 FAN196656 EQR196656 EGV196656 DWZ196656 DND196656 DDH196656 CTL196656 CJP196656 BZT196656 BPX196656 BGB196656 AWF196656 AMJ196656 ACN196656 SR196656 IV196656 D196656 WVH131120 WLL131120 WBP131120 VRT131120 VHX131120 UYB131120 UOF131120 UEJ131120 TUN131120 TKR131120 TAV131120 SQZ131120 SHD131120 RXH131120 RNL131120 RDP131120 QTT131120 QJX131120 QAB131120 PQF131120 PGJ131120 OWN131120 OMR131120 OCV131120 NSZ131120 NJD131120 MZH131120 MPL131120 MFP131120 LVT131120 LLX131120 LCB131120 KSF131120 KIJ131120 JYN131120 JOR131120 JEV131120 IUZ131120 ILD131120 IBH131120 HRL131120 HHP131120 GXT131120 GNX131120 GEB131120 FUF131120 FKJ131120 FAN131120 EQR131120 EGV131120 DWZ131120 DND131120 DDH131120 CTL131120 CJP131120 BZT131120 BPX131120 BGB131120 AWF131120 AMJ131120 ACN131120 SR131120 IV131120 D131120 WVH65584 WLL65584 WBP65584 VRT65584 VHX65584 UYB65584 UOF65584 UEJ65584 TUN65584 TKR65584 TAV65584 SQZ65584 SHD65584 RXH65584 RNL65584 RDP65584 QTT65584 QJX65584 QAB65584 PQF65584 PGJ65584 OWN65584 OMR65584 OCV65584 NSZ65584 NJD65584 MZH65584 MPL65584 MFP65584 LVT65584 LLX65584 LCB65584 KSF65584 KIJ65584 JYN65584 JOR65584 JEV65584 IUZ65584 ILD65584 IBH65584 HRL65584 HHP65584 GXT65584 GNX65584 GEB65584 FUF65584 FKJ65584 FAN65584 EQR65584 EGV65584 DWZ65584 DND65584 DDH65584 CTL65584 CJP65584 BZT65584 BPX65584 BGB65584 AWF65584 AMJ65584 ACN65584 SR65584 IV65584 D65584 WVH43 WLL43 WBP43 VRT43 VHX43 UYB43 UOF43 UEJ43 TUN43 TKR43 TAV43 SQZ43 SHD43 RXH43 RNL43 RDP43 QTT43 QJX43 QAB43 PQF43 PGJ43 OWN43 OMR43 OCV43 NSZ43 NJD43 MZH43 MPL43 MFP43 LVT43 LLX43 LCB43 KSF43 KIJ43 JYN43 JOR43 JEV43 IUZ43 ILD43 IBH43 HRL43 HHP43 GXT43 GNX43 GEB43 FUF43 FKJ43 FAN43 EQR43 EGV43 DWZ43 DND43 DDH43 CTL43 CJP43 BZT43 BPX43 BGB43 AWF43 AMJ43 ACN43 SR43 IV43 WLL983088 WVH983090 WLL983090 WBP983090 VRT983090 VHX983090 UYB983090 UOF983090 UEJ983090 TUN983090 TKR983090 TAV983090 SQZ983090 SHD983090 RXH983090 RNL983090 RDP983090 QTT983090 QJX983090 QAB983090 PQF983090 PGJ983090 OWN983090 OMR983090 OCV983090 NSZ983090 NJD983090 MZH983090 MPL983090 MFP983090 LVT983090 LLX983090 LCB983090 KSF983090 KIJ983090 JYN983090 JOR983090 JEV983090 IUZ983090 ILD983090 IBH983090 HRL983090 HHP983090 GXT983090 GNX983090 GEB983090 FUF983090 FKJ983090 FAN983090 EQR983090 EGV983090 DWZ983090 DND983090 DDH983090 CTL983090 CJP983090 BZT983090 BPX983090 BGB983090 AWF983090 AMJ983090 ACN983090 SR983090 IV983090 D983090 WVH917554 WLL917554 WBP917554 VRT917554 VHX917554 UYB917554 UOF917554 UEJ917554 TUN917554 TKR917554 TAV917554 SQZ917554 SHD917554 RXH917554 RNL917554 RDP917554 QTT917554 QJX917554 QAB917554 PQF917554 PGJ917554 OWN917554 OMR917554 OCV917554 NSZ917554 NJD917554 MZH917554 MPL917554 MFP917554 LVT917554 LLX917554 LCB917554 KSF917554 KIJ917554 JYN917554 JOR917554 JEV917554 IUZ917554 ILD917554 IBH917554 HRL917554 HHP917554 GXT917554 GNX917554 GEB917554 FUF917554 FKJ917554 FAN917554 EQR917554 EGV917554 DWZ917554 DND917554 DDH917554 CTL917554 CJP917554 BZT917554 BPX917554 BGB917554 AWF917554 AMJ917554 ACN917554 SR917554 IV917554 D917554 WVH852018 WLL852018 WBP852018 VRT852018 VHX852018 UYB852018 UOF852018 UEJ852018 TUN852018 TKR852018 TAV852018 SQZ852018 SHD852018 RXH852018 RNL852018 RDP852018 QTT852018 QJX852018 QAB852018 PQF852018 PGJ852018 OWN852018 OMR852018 OCV852018 NSZ852018 NJD852018 MZH852018 MPL852018 MFP852018 LVT852018 LLX852018 LCB852018 KSF852018 KIJ852018 JYN852018 JOR852018 JEV852018 IUZ852018 ILD852018 IBH852018 HRL852018 HHP852018 GXT852018 GNX852018 GEB852018 FUF852018 FKJ852018 FAN852018 EQR852018 EGV852018 DWZ852018 DND852018 DDH852018 CTL852018 CJP852018 BZT852018 BPX852018 BGB852018 AWF852018 AMJ852018 ACN852018 SR852018 IV852018 D852018 WVH786482 WLL786482 WBP786482 VRT786482 VHX786482 UYB786482 UOF786482 UEJ786482 TUN786482 TKR786482 TAV786482 SQZ786482 SHD786482 RXH786482 RNL786482 RDP786482 QTT786482 QJX786482 QAB786482 PQF786482 PGJ786482 OWN786482 OMR786482 OCV786482 NSZ786482 NJD786482 MZH786482 MPL786482 MFP786482 LVT786482 LLX786482 LCB786482 KSF786482 KIJ786482 JYN786482 JOR786482 JEV786482 IUZ786482 ILD786482 IBH786482 HRL786482 HHP786482 GXT786482 GNX786482 GEB786482 FUF786482 FKJ786482 FAN786482 EQR786482 EGV786482 DWZ786482 DND786482 DDH786482 CTL786482 CJP786482 BZT786482 BPX786482 BGB786482 AWF786482 AMJ786482 ACN786482 SR786482 IV786482 D786482 WVH720946 WLL720946 WBP720946 VRT720946 VHX720946 UYB720946 UOF720946 UEJ720946 TUN720946 TKR720946 TAV720946 SQZ720946 SHD720946 RXH720946 RNL720946 RDP720946 QTT720946 QJX720946 QAB720946 PQF720946 PGJ720946 OWN720946 OMR720946 OCV720946 NSZ720946 NJD720946 MZH720946 MPL720946 MFP720946 LVT720946 LLX720946 LCB720946 KSF720946 KIJ720946 JYN720946 JOR720946 JEV720946 IUZ720946 ILD720946 IBH720946 HRL720946 HHP720946 GXT720946 GNX720946 GEB720946 FUF720946 FKJ720946 FAN720946 EQR720946 EGV720946 DWZ720946 DND720946 DDH720946 CTL720946 CJP720946 BZT720946 BPX720946 BGB720946 AWF720946 AMJ720946 ACN720946 SR720946 IV720946 D720946 WVH655410 WLL655410 WBP655410 VRT655410 VHX655410 UYB655410 UOF655410 UEJ655410 TUN655410 TKR655410 TAV655410 SQZ655410 SHD655410 RXH655410 RNL655410 RDP655410 QTT655410 QJX655410 QAB655410 PQF655410 PGJ655410 OWN655410 OMR655410 OCV655410 NSZ655410 NJD655410 MZH655410 MPL655410 MFP655410 LVT655410 LLX655410 LCB655410 KSF655410 KIJ655410 JYN655410 JOR655410 JEV655410 IUZ655410 ILD655410 IBH655410 HRL655410 HHP655410 GXT655410 GNX655410 GEB655410 FUF655410 FKJ655410 FAN655410 EQR655410 EGV655410 DWZ655410 DND655410 DDH655410 CTL655410 CJP655410 BZT655410 BPX655410 BGB655410 AWF655410 AMJ655410 ACN655410 SR655410 IV655410 D655410 WVH589874 WLL589874 WBP589874 VRT589874 VHX589874 UYB589874 UOF589874 UEJ589874 TUN589874 TKR589874 TAV589874 SQZ589874 SHD589874 RXH589874 RNL589874 RDP589874 QTT589874 QJX589874 QAB589874 PQF589874 PGJ589874 OWN589874 OMR589874 OCV589874 NSZ589874 NJD589874 MZH589874 MPL589874 MFP589874 LVT589874 LLX589874 LCB589874 KSF589874 KIJ589874 JYN589874 JOR589874 JEV589874 IUZ589874 ILD589874 IBH589874 HRL589874 HHP589874 GXT589874 GNX589874 GEB589874 FUF589874 FKJ589874 FAN589874 EQR589874 EGV589874 DWZ589874 DND589874 DDH589874 CTL589874 CJP589874 BZT589874 BPX589874 BGB589874 AWF589874 AMJ589874 ACN589874 SR589874 IV589874 D589874 WVH524338 WLL524338 WBP524338 VRT524338 VHX524338 UYB524338 UOF524338 UEJ524338 TUN524338 TKR524338 TAV524338 SQZ524338 SHD524338 RXH524338 RNL524338 RDP524338 QTT524338 QJX524338 QAB524338 PQF524338 PGJ524338 OWN524338 OMR524338 OCV524338 NSZ524338 NJD524338 MZH524338 MPL524338 MFP524338 LVT524338 LLX524338 LCB524338 KSF524338 KIJ524338 JYN524338 JOR524338 JEV524338 IUZ524338 ILD524338 IBH524338 HRL524338 HHP524338 GXT524338 GNX524338 GEB524338 FUF524338 FKJ524338 FAN524338 EQR524338 EGV524338 DWZ524338 DND524338 DDH524338 CTL524338 CJP524338 BZT524338 BPX524338 BGB524338 AWF524338 AMJ524338 ACN524338 SR524338 IV524338 D524338 WVH458802 WLL458802 WBP458802 VRT458802 VHX458802 UYB458802 UOF458802 UEJ458802 TUN458802 TKR458802 TAV458802 SQZ458802 SHD458802 RXH458802 RNL458802 RDP458802 QTT458802 QJX458802 QAB458802 PQF458802 PGJ458802 OWN458802 OMR458802 OCV458802 NSZ458802 NJD458802 MZH458802 MPL458802 MFP458802 LVT458802 LLX458802 LCB458802 KSF458802 KIJ458802 JYN458802 JOR458802 JEV458802 IUZ458802 ILD458802 IBH458802 HRL458802 HHP458802 GXT458802 GNX458802 GEB458802 FUF458802 FKJ458802 FAN458802 EQR458802 EGV458802 DWZ458802 DND458802 DDH458802 CTL458802 CJP458802 BZT458802 BPX458802 BGB458802 AWF458802 AMJ458802 ACN458802 SR458802 IV458802 D458802 WVH393266 WLL393266 WBP393266 VRT393266 VHX393266 UYB393266 UOF393266 UEJ393266 TUN393266 TKR393266 TAV393266 SQZ393266 SHD393266 RXH393266 RNL393266 RDP393266 QTT393266 QJX393266 QAB393266 PQF393266 PGJ393266 OWN393266 OMR393266 OCV393266 NSZ393266 NJD393266 MZH393266 MPL393266 MFP393266 LVT393266 LLX393266 LCB393266 KSF393266 KIJ393266 JYN393266 JOR393266 JEV393266 IUZ393266 ILD393266 IBH393266 HRL393266 HHP393266 GXT393266 GNX393266 GEB393266 FUF393266 FKJ393266 FAN393266 EQR393266 EGV393266 DWZ393266 DND393266 DDH393266 CTL393266 CJP393266 BZT393266 BPX393266 BGB393266 AWF393266 AMJ393266 ACN393266 SR393266 IV393266 D393266 WVH327730 WLL327730 WBP327730 VRT327730 VHX327730 UYB327730 UOF327730 UEJ327730 TUN327730 TKR327730 TAV327730 SQZ327730 SHD327730 RXH327730 RNL327730 RDP327730 QTT327730 QJX327730 QAB327730 PQF327730 PGJ327730 OWN327730 OMR327730 OCV327730 NSZ327730 NJD327730 MZH327730 MPL327730 MFP327730 LVT327730 LLX327730 LCB327730 KSF327730 KIJ327730 JYN327730 JOR327730 JEV327730 IUZ327730 ILD327730 IBH327730 HRL327730 HHP327730 GXT327730 GNX327730 GEB327730 FUF327730 FKJ327730 FAN327730 EQR327730 EGV327730 DWZ327730 DND327730 DDH327730 CTL327730 CJP327730 BZT327730 BPX327730 BGB327730 AWF327730 AMJ327730 ACN327730 SR327730 IV327730 D327730 WVH262194 WLL262194 WBP262194 VRT262194 VHX262194 UYB262194 UOF262194 UEJ262194 TUN262194 TKR262194 TAV262194 SQZ262194 SHD262194 RXH262194 RNL262194 RDP262194 QTT262194 QJX262194 QAB262194 PQF262194 PGJ262194 OWN262194 OMR262194 OCV262194 NSZ262194 NJD262194 MZH262194 MPL262194 MFP262194 LVT262194 LLX262194 LCB262194 KSF262194 KIJ262194 JYN262194 JOR262194 JEV262194 IUZ262194 ILD262194 IBH262194 HRL262194 HHP262194 GXT262194 GNX262194 GEB262194 FUF262194 FKJ262194 FAN262194 EQR262194 EGV262194 DWZ262194 DND262194 DDH262194 CTL262194 CJP262194 BZT262194 BPX262194 BGB262194 AWF262194 AMJ262194 ACN262194 SR262194 IV262194 D262194 WVH196658 WLL196658 WBP196658 VRT196658 VHX196658 UYB196658 UOF196658 UEJ196658 TUN196658 TKR196658 TAV196658 SQZ196658 SHD196658 RXH196658 RNL196658 RDP196658 QTT196658 QJX196658 QAB196658 PQF196658 PGJ196658 OWN196658 OMR196658 OCV196658 NSZ196658 NJD196658 MZH196658 MPL196658 MFP196658 LVT196658 LLX196658 LCB196658 KSF196658 KIJ196658 JYN196658 JOR196658 JEV196658 IUZ196658 ILD196658 IBH196658 HRL196658 HHP196658 GXT196658 GNX196658 GEB196658 FUF196658 FKJ196658 FAN196658 EQR196658 EGV196658 DWZ196658 DND196658 DDH196658 CTL196658 CJP196658 BZT196658 BPX196658 BGB196658 AWF196658 AMJ196658 ACN196658 SR196658 IV196658 D196658 WVH131122 WLL131122 WBP131122 VRT131122 VHX131122 UYB131122 UOF131122 UEJ131122 TUN131122 TKR131122 TAV131122 SQZ131122 SHD131122 RXH131122 RNL131122 RDP131122 QTT131122 QJX131122 QAB131122 PQF131122 PGJ131122 OWN131122 OMR131122 OCV131122 NSZ131122 NJD131122 MZH131122 MPL131122 MFP131122 LVT131122 LLX131122 LCB131122 KSF131122 KIJ131122 JYN131122 JOR131122 JEV131122 IUZ131122 ILD131122 IBH131122 HRL131122 HHP131122 GXT131122 GNX131122 GEB131122 FUF131122 FKJ131122 FAN131122 EQR131122 EGV131122 DWZ131122 DND131122 DDH131122 CTL131122 CJP131122 BZT131122 BPX131122 BGB131122 AWF131122 AMJ131122 ACN131122 SR131122 IV131122 D131122 WVH65586 WLL65586 WBP65586 VRT65586 VHX65586 UYB65586 UOF65586 UEJ65586 TUN65586 TKR65586 TAV65586 SQZ65586 SHD65586 RXH65586 RNL65586 RDP65586 QTT65586 QJX65586 QAB65586 PQF65586 PGJ65586 OWN65586 OMR65586 OCV65586 NSZ65586 NJD65586 MZH65586 MPL65586 MFP65586 LVT65586 LLX65586 LCB65586 KSF65586 KIJ65586 JYN65586 JOR65586 JEV65586 IUZ65586 ILD65586 IBH65586 HRL65586 HHP65586 GXT65586 GNX65586 GEB65586 FUF65586 FKJ65586 FAN65586 EQR65586 EGV65586 DWZ65586 DND65586 DDH65586 CTL65586 CJP65586 BZT65586 BPX65586 BGB65586 AWF65586 AMJ65586 ACN65586 SR65586 IV65586 D65586 WVH45 WLL45 WBP45 VRT45 VHX45 UYB45 UOF45 UEJ45 TUN45 TKR45 TAV45 SQZ45 SHD45 RXH45 RNL45 RDP45 QTT45 QJX45 QAB45 PQF45 PGJ45 OWN45 OMR45 OCV45 NSZ45 NJD45 MZH45 MPL45 MFP45 LVT45 LLX45 LCB45 KSF45 KIJ45 JYN45 JOR45 JEV45 IUZ45 ILD45 IBH45 HRL45 HHP45 GXT45 GNX45 GEB45 FUF45 FKJ45 FAN45 EQR45 EGV45 DWZ45 DND45 DDH45 CTL45 CJP45 BZT45 BPX45 BGB45 AWF45 AMJ45 ACN45 SR45 IV45 WBP983088 WVH983092 WLL983092 WBP983092 VRT983092 VHX983092 UYB983092 UOF983092 UEJ983092 TUN983092 TKR983092 TAV983092 SQZ983092 SHD983092 RXH983092 RNL983092 RDP983092 QTT983092 QJX983092 QAB983092 PQF983092 PGJ983092 OWN983092 OMR983092 OCV983092 NSZ983092 NJD983092 MZH983092 MPL983092 MFP983092 LVT983092 LLX983092 LCB983092 KSF983092 KIJ983092 JYN983092 JOR983092 JEV983092 IUZ983092 ILD983092 IBH983092 HRL983092 HHP983092 GXT983092 GNX983092 GEB983092 FUF983092 FKJ983092 FAN983092 EQR983092 EGV983092 DWZ983092 DND983092 DDH983092 CTL983092 CJP983092 BZT983092 BPX983092 BGB983092 AWF983092 AMJ983092 ACN983092 SR983092 IV983092 D983092 WVH917556 WLL917556 WBP917556 VRT917556 VHX917556 UYB917556 UOF917556 UEJ917556 TUN917556 TKR917556 TAV917556 SQZ917556 SHD917556 RXH917556 RNL917556 RDP917556 QTT917556 QJX917556 QAB917556 PQF917556 PGJ917556 OWN917556 OMR917556 OCV917556 NSZ917556 NJD917556 MZH917556 MPL917556 MFP917556 LVT917556 LLX917556 LCB917556 KSF917556 KIJ917556 JYN917556 JOR917556 JEV917556 IUZ917556 ILD917556 IBH917556 HRL917556 HHP917556 GXT917556 GNX917556 GEB917556 FUF917556 FKJ917556 FAN917556 EQR917556 EGV917556 DWZ917556 DND917556 DDH917556 CTL917556 CJP917556 BZT917556 BPX917556 BGB917556 AWF917556 AMJ917556 ACN917556 SR917556 IV917556 D917556 WVH852020 WLL852020 WBP852020 VRT852020 VHX852020 UYB852020 UOF852020 UEJ852020 TUN852020 TKR852020 TAV852020 SQZ852020 SHD852020 RXH852020 RNL852020 RDP852020 QTT852020 QJX852020 QAB852020 PQF852020 PGJ852020 OWN852020 OMR852020 OCV852020 NSZ852020 NJD852020 MZH852020 MPL852020 MFP852020 LVT852020 LLX852020 LCB852020 KSF852020 KIJ852020 JYN852020 JOR852020 JEV852020 IUZ852020 ILD852020 IBH852020 HRL852020 HHP852020 GXT852020 GNX852020 GEB852020 FUF852020 FKJ852020 FAN852020 EQR852020 EGV852020 DWZ852020 DND852020 DDH852020 CTL852020 CJP852020 BZT852020 BPX852020 BGB852020 AWF852020 AMJ852020 ACN852020 SR852020 IV852020 D852020 WVH786484 WLL786484 WBP786484 VRT786484 VHX786484 UYB786484 UOF786484 UEJ786484 TUN786484 TKR786484 TAV786484 SQZ786484 SHD786484 RXH786484 RNL786484 RDP786484 QTT786484 QJX786484 QAB786484 PQF786484 PGJ786484 OWN786484 OMR786484 OCV786484 NSZ786484 NJD786484 MZH786484 MPL786484 MFP786484 LVT786484 LLX786484 LCB786484 KSF786484 KIJ786484 JYN786484 JOR786484 JEV786484 IUZ786484 ILD786484 IBH786484 HRL786484 HHP786484 GXT786484 GNX786484 GEB786484 FUF786484 FKJ786484 FAN786484 EQR786484 EGV786484 DWZ786484 DND786484 DDH786484 CTL786484 CJP786484 BZT786484 BPX786484 BGB786484 AWF786484 AMJ786484 ACN786484 SR786484 IV786484 D786484 WVH720948 WLL720948 WBP720948 VRT720948 VHX720948 UYB720948 UOF720948 UEJ720948 TUN720948 TKR720948 TAV720948 SQZ720948 SHD720948 RXH720948 RNL720948 RDP720948 QTT720948 QJX720948 QAB720948 PQF720948 PGJ720948 OWN720948 OMR720948 OCV720948 NSZ720948 NJD720948 MZH720948 MPL720948 MFP720948 LVT720948 LLX720948 LCB720948 KSF720948 KIJ720948 JYN720948 JOR720948 JEV720948 IUZ720948 ILD720948 IBH720948 HRL720948 HHP720948 GXT720948 GNX720948 GEB720948 FUF720948 FKJ720948 FAN720948 EQR720948 EGV720948 DWZ720948 DND720948 DDH720948 CTL720948 CJP720948 BZT720948 BPX720948 BGB720948 AWF720948 AMJ720948 ACN720948 SR720948 IV720948 D720948 WVH655412 WLL655412 WBP655412 VRT655412 VHX655412 UYB655412 UOF655412 UEJ655412 TUN655412 TKR655412 TAV655412 SQZ655412 SHD655412 RXH655412 RNL655412 RDP655412 QTT655412 QJX655412 QAB655412 PQF655412 PGJ655412 OWN655412 OMR655412 OCV655412 NSZ655412 NJD655412 MZH655412 MPL655412 MFP655412 LVT655412 LLX655412 LCB655412 KSF655412 KIJ655412 JYN655412 JOR655412 JEV655412 IUZ655412 ILD655412 IBH655412 HRL655412 HHP655412 GXT655412 GNX655412 GEB655412 FUF655412 FKJ655412 FAN655412 EQR655412 EGV655412 DWZ655412 DND655412 DDH655412 CTL655412 CJP655412 BZT655412 BPX655412 BGB655412 AWF655412 AMJ655412 ACN655412 SR655412 IV655412 D655412 WVH589876 WLL589876 WBP589876 VRT589876 VHX589876 UYB589876 UOF589876 UEJ589876 TUN589876 TKR589876 TAV589876 SQZ589876 SHD589876 RXH589876 RNL589876 RDP589876 QTT589876 QJX589876 QAB589876 PQF589876 PGJ589876 OWN589876 OMR589876 OCV589876 NSZ589876 NJD589876 MZH589876 MPL589876 MFP589876 LVT589876 LLX589876 LCB589876 KSF589876 KIJ589876 JYN589876 JOR589876 JEV589876 IUZ589876 ILD589876 IBH589876 HRL589876 HHP589876 GXT589876 GNX589876 GEB589876 FUF589876 FKJ589876 FAN589876 EQR589876 EGV589876 DWZ589876 DND589876 DDH589876 CTL589876 CJP589876 BZT589876 BPX589876 BGB589876 AWF589876 AMJ589876 ACN589876 SR589876 IV589876 D589876 WVH524340 WLL524340 WBP524340 VRT524340 VHX524340 UYB524340 UOF524340 UEJ524340 TUN524340 TKR524340 TAV524340 SQZ524340 SHD524340 RXH524340 RNL524340 RDP524340 QTT524340 QJX524340 QAB524340 PQF524340 PGJ524340 OWN524340 OMR524340 OCV524340 NSZ524340 NJD524340 MZH524340 MPL524340 MFP524340 LVT524340 LLX524340 LCB524340 KSF524340 KIJ524340 JYN524340 JOR524340 JEV524340 IUZ524340 ILD524340 IBH524340 HRL524340 HHP524340 GXT524340 GNX524340 GEB524340 FUF524340 FKJ524340 FAN524340 EQR524340 EGV524340 DWZ524340 DND524340 DDH524340 CTL524340 CJP524340 BZT524340 BPX524340 BGB524340 AWF524340 AMJ524340 ACN524340 SR524340 IV524340 D524340 WVH458804 WLL458804 WBP458804 VRT458804 VHX458804 UYB458804 UOF458804 UEJ458804 TUN458804 TKR458804 TAV458804 SQZ458804 SHD458804 RXH458804 RNL458804 RDP458804 QTT458804 QJX458804 QAB458804 PQF458804 PGJ458804 OWN458804 OMR458804 OCV458804 NSZ458804 NJD458804 MZH458804 MPL458804 MFP458804 LVT458804 LLX458804 LCB458804 KSF458804 KIJ458804 JYN458804 JOR458804 JEV458804 IUZ458804 ILD458804 IBH458804 HRL458804 HHP458804 GXT458804 GNX458804 GEB458804 FUF458804 FKJ458804 FAN458804 EQR458804 EGV458804 DWZ458804 DND458804 DDH458804 CTL458804 CJP458804 BZT458804 BPX458804 BGB458804 AWF458804 AMJ458804 ACN458804 SR458804 IV458804 D458804 WVH393268 WLL393268 WBP393268 VRT393268 VHX393268 UYB393268 UOF393268 UEJ393268 TUN393268 TKR393268 TAV393268 SQZ393268 SHD393268 RXH393268 RNL393268 RDP393268 QTT393268 QJX393268 QAB393268 PQF393268 PGJ393268 OWN393268 OMR393268 OCV393268 NSZ393268 NJD393268 MZH393268 MPL393268 MFP393268 LVT393268 LLX393268 LCB393268 KSF393268 KIJ393268 JYN393268 JOR393268 JEV393268 IUZ393268 ILD393268 IBH393268 HRL393268 HHP393268 GXT393268 GNX393268 GEB393268 FUF393268 FKJ393268 FAN393268 EQR393268 EGV393268 DWZ393268 DND393268 DDH393268 CTL393268 CJP393268 BZT393268 BPX393268 BGB393268 AWF393268 AMJ393268 ACN393268 SR393268 IV393268 D393268 WVH327732 WLL327732 WBP327732 VRT327732 VHX327732 UYB327732 UOF327732 UEJ327732 TUN327732 TKR327732 TAV327732 SQZ327732 SHD327732 RXH327732 RNL327732 RDP327732 QTT327732 QJX327732 QAB327732 PQF327732 PGJ327732 OWN327732 OMR327732 OCV327732 NSZ327732 NJD327732 MZH327732 MPL327732 MFP327732 LVT327732 LLX327732 LCB327732 KSF327732 KIJ327732 JYN327732 JOR327732 JEV327732 IUZ327732 ILD327732 IBH327732 HRL327732 HHP327732 GXT327732 GNX327732 GEB327732 FUF327732 FKJ327732 FAN327732 EQR327732 EGV327732 DWZ327732 DND327732 DDH327732 CTL327732 CJP327732 BZT327732 BPX327732 BGB327732 AWF327732 AMJ327732 ACN327732 SR327732 IV327732 D327732 WVH262196 WLL262196 WBP262196 VRT262196 VHX262196 UYB262196 UOF262196 UEJ262196 TUN262196 TKR262196 TAV262196 SQZ262196 SHD262196 RXH262196 RNL262196 RDP262196 QTT262196 QJX262196 QAB262196 PQF262196 PGJ262196 OWN262196 OMR262196 OCV262196 NSZ262196 NJD262196 MZH262196 MPL262196 MFP262196 LVT262196 LLX262196 LCB262196 KSF262196 KIJ262196 JYN262196 JOR262196 JEV262196 IUZ262196 ILD262196 IBH262196 HRL262196 HHP262196 GXT262196 GNX262196 GEB262196 FUF262196 FKJ262196 FAN262196 EQR262196 EGV262196 DWZ262196 DND262196 DDH262196 CTL262196 CJP262196 BZT262196 BPX262196 BGB262196 AWF262196 AMJ262196 ACN262196 SR262196 IV262196 D262196 WVH196660 WLL196660 WBP196660 VRT196660 VHX196660 UYB196660 UOF196660 UEJ196660 TUN196660 TKR196660 TAV196660 SQZ196660 SHD196660 RXH196660 RNL196660 RDP196660 QTT196660 QJX196660 QAB196660 PQF196660 PGJ196660 OWN196660 OMR196660 OCV196660 NSZ196660 NJD196660 MZH196660 MPL196660 MFP196660 LVT196660 LLX196660 LCB196660 KSF196660 KIJ196660 JYN196660 JOR196660 JEV196660 IUZ196660 ILD196660 IBH196660 HRL196660 HHP196660 GXT196660 GNX196660 GEB196660 FUF196660 FKJ196660 FAN196660 EQR196660 EGV196660 DWZ196660 DND196660 DDH196660 CTL196660 CJP196660 BZT196660 BPX196660 BGB196660 AWF196660 AMJ196660 ACN196660 SR196660 IV196660 D196660 WVH131124 WLL131124 WBP131124 VRT131124 VHX131124 UYB131124 UOF131124 UEJ131124 TUN131124 TKR131124 TAV131124 SQZ131124 SHD131124 RXH131124 RNL131124 RDP131124 QTT131124 QJX131124 QAB131124 PQF131124 PGJ131124 OWN131124 OMR131124 OCV131124 NSZ131124 NJD131124 MZH131124 MPL131124 MFP131124 LVT131124 LLX131124 LCB131124 KSF131124 KIJ131124 JYN131124 JOR131124 JEV131124 IUZ131124 ILD131124 IBH131124 HRL131124 HHP131124 GXT131124 GNX131124 GEB131124 FUF131124 FKJ131124 FAN131124 EQR131124 EGV131124 DWZ131124 DND131124 DDH131124 CTL131124 CJP131124 BZT131124 BPX131124 BGB131124 AWF131124 AMJ131124 ACN131124 SR131124 IV131124 D131124 WVH65588 WLL65588 WBP65588 VRT65588 VHX65588 UYB65588 UOF65588 UEJ65588 TUN65588 TKR65588 TAV65588 SQZ65588 SHD65588 RXH65588 RNL65588 RDP65588 QTT65588 QJX65588 QAB65588 PQF65588 PGJ65588 OWN65588 OMR65588 OCV65588 NSZ65588 NJD65588 MZH65588 MPL65588 MFP65588 LVT65588 LLX65588 LCB65588 KSF65588 KIJ65588 JYN65588 JOR65588 JEV65588 IUZ65588 ILD65588 IBH65588 HRL65588 HHP65588 GXT65588 GNX65588 GEB65588 FUF65588 FKJ65588 FAN65588 EQR65588 EGV65588 DWZ65588 DND65588 DDH65588 CTL65588 CJP65588 BZT65588 BPX65588 BGB65588 AWF65588 AMJ65588 ACN65588 SR65588 IV65588 D65588 WVH47 WLL47 WBP47 VRT47 VHX47 UYB47 UOF47 UEJ47 TUN47 TKR47 TAV47 SQZ47 SHD47 RXH47 RNL47 RDP47 QTT47 QJX47 QAB47 PQF47 PGJ47 OWN47 OMR47 OCV47 NSZ47 NJD47 MZH47 MPL47 MFP47 LVT47 LLX47 LCB47 KSF47 KIJ47 JYN47 JOR47 JEV47 IUZ47 ILD47 IBH47 HRL47 HHP47 GXT47 GNX47 GEB47 FUF47 FKJ47 FAN47 EQR47 EGV47 DWZ47 DND47 DDH47 CTL47 CJP47 BZT47 BPX47 BGB47 AWF47 AMJ47 ACN47 SR47 IV47 VRT983088 WVH983094 WLL983094 WBP983094 VRT983094 VHX983094 UYB983094 UOF983094 UEJ983094 TUN983094 TKR983094 TAV983094 SQZ983094 SHD983094 RXH983094 RNL983094 RDP983094 QTT983094 QJX983094 QAB983094 PQF983094 PGJ983094 OWN983094 OMR983094 OCV983094 NSZ983094 NJD983094 MZH983094 MPL983094 MFP983094 LVT983094 LLX983094 LCB983094 KSF983094 KIJ983094 JYN983094 JOR983094 JEV983094 IUZ983094 ILD983094 IBH983094 HRL983094 HHP983094 GXT983094 GNX983094 GEB983094 FUF983094 FKJ983094 FAN983094 EQR983094 EGV983094 DWZ983094 DND983094 DDH983094 CTL983094 CJP983094 BZT983094 BPX983094 BGB983094 AWF983094 AMJ983094 ACN983094 SR983094 IV983094 D983094 WVH917558 WLL917558 WBP917558 VRT917558 VHX917558 UYB917558 UOF917558 UEJ917558 TUN917558 TKR917558 TAV917558 SQZ917558 SHD917558 RXH917558 RNL917558 RDP917558 QTT917558 QJX917558 QAB917558 PQF917558 PGJ917558 OWN917558 OMR917558 OCV917558 NSZ917558 NJD917558 MZH917558 MPL917558 MFP917558 LVT917558 LLX917558 LCB917558 KSF917558 KIJ917558 JYN917558 JOR917558 JEV917558 IUZ917558 ILD917558 IBH917558 HRL917558 HHP917558 GXT917558 GNX917558 GEB917558 FUF917558 FKJ917558 FAN917558 EQR917558 EGV917558 DWZ917558 DND917558 DDH917558 CTL917558 CJP917558 BZT917558 BPX917558 BGB917558 AWF917558 AMJ917558 ACN917558 SR917558 IV917558 D917558 WVH852022 WLL852022 WBP852022 VRT852022 VHX852022 UYB852022 UOF852022 UEJ852022 TUN852022 TKR852022 TAV852022 SQZ852022 SHD852022 RXH852022 RNL852022 RDP852022 QTT852022 QJX852022 QAB852022 PQF852022 PGJ852022 OWN852022 OMR852022 OCV852022 NSZ852022 NJD852022 MZH852022 MPL852022 MFP852022 LVT852022 LLX852022 LCB852022 KSF852022 KIJ852022 JYN852022 JOR852022 JEV852022 IUZ852022 ILD852022 IBH852022 HRL852022 HHP852022 GXT852022 GNX852022 GEB852022 FUF852022 FKJ852022 FAN852022 EQR852022 EGV852022 DWZ852022 DND852022 DDH852022 CTL852022 CJP852022 BZT852022 BPX852022 BGB852022 AWF852022 AMJ852022 ACN852022 SR852022 IV852022 D852022 WVH786486 WLL786486 WBP786486 VRT786486 VHX786486 UYB786486 UOF786486 UEJ786486 TUN786486 TKR786486 TAV786486 SQZ786486 SHD786486 RXH786486 RNL786486 RDP786486 QTT786486 QJX786486 QAB786486 PQF786486 PGJ786486 OWN786486 OMR786486 OCV786486 NSZ786486 NJD786486 MZH786486 MPL786486 MFP786486 LVT786486 LLX786486 LCB786486 KSF786486 KIJ786486 JYN786486 JOR786486 JEV786486 IUZ786486 ILD786486 IBH786486 HRL786486 HHP786486 GXT786486 GNX786486 GEB786486 FUF786486 FKJ786486 FAN786486 EQR786486 EGV786486 DWZ786486 DND786486 DDH786486 CTL786486 CJP786486 BZT786486 BPX786486 BGB786486 AWF786486 AMJ786486 ACN786486 SR786486 IV786486 D786486 WVH720950 WLL720950 WBP720950 VRT720950 VHX720950 UYB720950 UOF720950 UEJ720950 TUN720950 TKR720950 TAV720950 SQZ720950 SHD720950 RXH720950 RNL720950 RDP720950 QTT720950 QJX720950 QAB720950 PQF720950 PGJ720950 OWN720950 OMR720950 OCV720950 NSZ720950 NJD720950 MZH720950 MPL720950 MFP720950 LVT720950 LLX720950 LCB720950 KSF720950 KIJ720950 JYN720950 JOR720950 JEV720950 IUZ720950 ILD720950 IBH720950 HRL720950 HHP720950 GXT720950 GNX720950 GEB720950 FUF720950 FKJ720950 FAN720950 EQR720950 EGV720950 DWZ720950 DND720950 DDH720950 CTL720950 CJP720950 BZT720950 BPX720950 BGB720950 AWF720950 AMJ720950 ACN720950 SR720950 IV720950 D720950 WVH655414 WLL655414 WBP655414 VRT655414 VHX655414 UYB655414 UOF655414 UEJ655414 TUN655414 TKR655414 TAV655414 SQZ655414 SHD655414 RXH655414 RNL655414 RDP655414 QTT655414 QJX655414 QAB655414 PQF655414 PGJ655414 OWN655414 OMR655414 OCV655414 NSZ655414 NJD655414 MZH655414 MPL655414 MFP655414 LVT655414 LLX655414 LCB655414 KSF655414 KIJ655414 JYN655414 JOR655414 JEV655414 IUZ655414 ILD655414 IBH655414 HRL655414 HHP655414 GXT655414 GNX655414 GEB655414 FUF655414 FKJ655414 FAN655414 EQR655414 EGV655414 DWZ655414 DND655414 DDH655414 CTL655414 CJP655414 BZT655414 BPX655414 BGB655414 AWF655414 AMJ655414 ACN655414 SR655414 IV655414 D655414 WVH589878 WLL589878 WBP589878 VRT589878 VHX589878 UYB589878 UOF589878 UEJ589878 TUN589878 TKR589878 TAV589878 SQZ589878 SHD589878 RXH589878 RNL589878 RDP589878 QTT589878 QJX589878 QAB589878 PQF589878 PGJ589878 OWN589878 OMR589878 OCV589878 NSZ589878 NJD589878 MZH589878 MPL589878 MFP589878 LVT589878 LLX589878 LCB589878 KSF589878 KIJ589878 JYN589878 JOR589878 JEV589878 IUZ589878 ILD589878 IBH589878 HRL589878 HHP589878 GXT589878 GNX589878 GEB589878 FUF589878 FKJ589878 FAN589878 EQR589878 EGV589878 DWZ589878 DND589878 DDH589878 CTL589878 CJP589878 BZT589878 BPX589878 BGB589878 AWF589878 AMJ589878 ACN589878 SR589878 IV589878 D589878 WVH524342 WLL524342 WBP524342 VRT524342 VHX524342 UYB524342 UOF524342 UEJ524342 TUN524342 TKR524342 TAV524342 SQZ524342 SHD524342 RXH524342 RNL524342 RDP524342 QTT524342 QJX524342 QAB524342 PQF524342 PGJ524342 OWN524342 OMR524342 OCV524342 NSZ524342 NJD524342 MZH524342 MPL524342 MFP524342 LVT524342 LLX524342 LCB524342 KSF524342 KIJ524342 JYN524342 JOR524342 JEV524342 IUZ524342 ILD524342 IBH524342 HRL524342 HHP524342 GXT524342 GNX524342 GEB524342 FUF524342 FKJ524342 FAN524342 EQR524342 EGV524342 DWZ524342 DND524342 DDH524342 CTL524342 CJP524342 BZT524342 BPX524342 BGB524342 AWF524342 AMJ524342 ACN524342 SR524342 IV524342 D524342 WVH458806 WLL458806 WBP458806 VRT458806 VHX458806 UYB458806 UOF458806 UEJ458806 TUN458806 TKR458806 TAV458806 SQZ458806 SHD458806 RXH458806 RNL458806 RDP458806 QTT458806 QJX458806 QAB458806 PQF458806 PGJ458806 OWN458806 OMR458806 OCV458806 NSZ458806 NJD458806 MZH458806 MPL458806 MFP458806 LVT458806 LLX458806 LCB458806 KSF458806 KIJ458806 JYN458806 JOR458806 JEV458806 IUZ458806 ILD458806 IBH458806 HRL458806 HHP458806 GXT458806 GNX458806 GEB458806 FUF458806 FKJ458806 FAN458806 EQR458806 EGV458806 DWZ458806 DND458806 DDH458806 CTL458806 CJP458806 BZT458806 BPX458806 BGB458806 AWF458806 AMJ458806 ACN458806 SR458806 IV458806 D458806 WVH393270 WLL393270 WBP393270 VRT393270 VHX393270 UYB393270 UOF393270 UEJ393270 TUN393270 TKR393270 TAV393270 SQZ393270 SHD393270 RXH393270 RNL393270 RDP393270 QTT393270 QJX393270 QAB393270 PQF393270 PGJ393270 OWN393270 OMR393270 OCV393270 NSZ393270 NJD393270 MZH393270 MPL393270 MFP393270 LVT393270 LLX393270 LCB393270 KSF393270 KIJ393270 JYN393270 JOR393270 JEV393270 IUZ393270 ILD393270 IBH393270 HRL393270 HHP393270 GXT393270 GNX393270 GEB393270 FUF393270 FKJ393270 FAN393270 EQR393270 EGV393270 DWZ393270 DND393270 DDH393270 CTL393270 CJP393270 BZT393270 BPX393270 BGB393270 AWF393270 AMJ393270 ACN393270 SR393270 IV393270 D393270 WVH327734 WLL327734 WBP327734 VRT327734 VHX327734 UYB327734 UOF327734 UEJ327734 TUN327734 TKR327734 TAV327734 SQZ327734 SHD327734 RXH327734 RNL327734 RDP327734 QTT327734 QJX327734 QAB327734 PQF327734 PGJ327734 OWN327734 OMR327734 OCV327734 NSZ327734 NJD327734 MZH327734 MPL327734 MFP327734 LVT327734 LLX327734 LCB327734 KSF327734 KIJ327734 JYN327734 JOR327734 JEV327734 IUZ327734 ILD327734 IBH327734 HRL327734 HHP327734 GXT327734 GNX327734 GEB327734 FUF327734 FKJ327734 FAN327734 EQR327734 EGV327734 DWZ327734 DND327734 DDH327734 CTL327734 CJP327734 BZT327734 BPX327734 BGB327734 AWF327734 AMJ327734 ACN327734 SR327734 IV327734 D327734 WVH262198 WLL262198 WBP262198 VRT262198 VHX262198 UYB262198 UOF262198 UEJ262198 TUN262198 TKR262198 TAV262198 SQZ262198 SHD262198 RXH262198 RNL262198 RDP262198 QTT262198 QJX262198 QAB262198 PQF262198 PGJ262198 OWN262198 OMR262198 OCV262198 NSZ262198 NJD262198 MZH262198 MPL262198 MFP262198 LVT262198 LLX262198 LCB262198 KSF262198 KIJ262198 JYN262198 JOR262198 JEV262198 IUZ262198 ILD262198 IBH262198 HRL262198 HHP262198 GXT262198 GNX262198 GEB262198 FUF262198 FKJ262198 FAN262198 EQR262198 EGV262198 DWZ262198 DND262198 DDH262198 CTL262198 CJP262198 BZT262198 BPX262198 BGB262198 AWF262198 AMJ262198 ACN262198 SR262198 IV262198 D262198 WVH196662 WLL196662 WBP196662 VRT196662 VHX196662 UYB196662 UOF196662 UEJ196662 TUN196662 TKR196662 TAV196662 SQZ196662 SHD196662 RXH196662 RNL196662 RDP196662 QTT196662 QJX196662 QAB196662 PQF196662 PGJ196662 OWN196662 OMR196662 OCV196662 NSZ196662 NJD196662 MZH196662 MPL196662 MFP196662 LVT196662 LLX196662 LCB196662 KSF196662 KIJ196662 JYN196662 JOR196662 JEV196662 IUZ196662 ILD196662 IBH196662 HRL196662 HHP196662 GXT196662 GNX196662 GEB196662 FUF196662 FKJ196662 FAN196662 EQR196662 EGV196662 DWZ196662 DND196662 DDH196662 CTL196662 CJP196662 BZT196662 BPX196662 BGB196662 AWF196662 AMJ196662 ACN196662 SR196662 IV196662 D196662 WVH131126 WLL131126 WBP131126 VRT131126 VHX131126 UYB131126 UOF131126 UEJ131126 TUN131126 TKR131126 TAV131126 SQZ131126 SHD131126 RXH131126 RNL131126 RDP131126 QTT131126 QJX131126 QAB131126 PQF131126 PGJ131126 OWN131126 OMR131126 OCV131126 NSZ131126 NJD131126 MZH131126 MPL131126 MFP131126 LVT131126 LLX131126 LCB131126 KSF131126 KIJ131126 JYN131126 JOR131126 JEV131126 IUZ131126 ILD131126 IBH131126 HRL131126 HHP131126 GXT131126 GNX131126 GEB131126 FUF131126 FKJ131126 FAN131126 EQR131126 EGV131126 DWZ131126 DND131126 DDH131126 CTL131126 CJP131126 BZT131126 BPX131126 BGB131126 AWF131126 AMJ131126 ACN131126 SR131126 IV131126 D131126 WVH65590 WLL65590 WBP65590 VRT65590 VHX65590 UYB65590 UOF65590 UEJ65590 TUN65590 TKR65590 TAV65590 SQZ65590 SHD65590 RXH65590 RNL65590 RDP65590 QTT65590 QJX65590 QAB65590 PQF65590 PGJ65590 OWN65590 OMR65590 OCV65590 NSZ65590 NJD65590 MZH65590 MPL65590 MFP65590 LVT65590 LLX65590 LCB65590 KSF65590 KIJ65590 JYN65590 JOR65590 JEV65590 IUZ65590 ILD65590 IBH65590 HRL65590 HHP65590 GXT65590 GNX65590 GEB65590 FUF65590 FKJ65590 FAN65590 EQR65590 EGV65590 DWZ65590 DND65590 DDH65590 CTL65590 CJP65590 BZT65590 BPX65590 BGB65590 AWF65590 AMJ65590 ACN65590 SR65590 IV65590 D65590 WVH49 WLL49 WBP49 VRT49 VHX49 UYB49 UOF49 UEJ49 TUN49 TKR49 TAV49 SQZ49 SHD49 RXH49 RNL49 RDP49 QTT49 QJX49 QAB49 PQF49 PGJ49 OWN49 OMR49 OCV49 NSZ49 NJD49 MZH49 MPL49 MFP49 LVT49 LLX49 LCB49 KSF49 KIJ49 JYN49 JOR49 JEV49 IUZ49 ILD49 IBH49 HRL49 HHP49 GXT49 GNX49 GEB49 FUF49 FKJ49 FAN49 EQR49 EGV49 DWZ49 DND49 DDH49 CTL49 CJP49 BZT49 BPX49 BGB49 AWF49 AMJ49 ACN49 SR49 IV49 VHX983088 WVJ983094 WLN983094 WBR983094 VRV983094 VHZ983094 UYD983094 UOH983094 UEL983094 TUP983094 TKT983094 TAX983094 SRB983094 SHF983094 RXJ983094 RNN983094 RDR983094 QTV983094 QJZ983094 QAD983094 PQH983094 PGL983094 OWP983094 OMT983094 OCX983094 NTB983094 NJF983094 MZJ983094 MPN983094 MFR983094 LVV983094 LLZ983094 LCD983094 KSH983094 KIL983094 JYP983094 JOT983094 JEX983094 IVB983094 ILF983094 IBJ983094 HRN983094 HHR983094 GXV983094 GNZ983094 GED983094 FUH983094 FKL983094 FAP983094 EQT983094 EGX983094 DXB983094 DNF983094 DDJ983094 CTN983094 CJR983094 BZV983094 BPZ983094 BGD983094 AWH983094 AML983094 ACP983094 ST983094 IX983094 F983094 WVJ917558 WLN917558 WBR917558 VRV917558 VHZ917558 UYD917558 UOH917558 UEL917558 TUP917558 TKT917558 TAX917558 SRB917558 SHF917558 RXJ917558 RNN917558 RDR917558 QTV917558 QJZ917558 QAD917558 PQH917558 PGL917558 OWP917558 OMT917558 OCX917558 NTB917558 NJF917558 MZJ917558 MPN917558 MFR917558 LVV917558 LLZ917558 LCD917558 KSH917558 KIL917558 JYP917558 JOT917558 JEX917558 IVB917558 ILF917558 IBJ917558 HRN917558 HHR917558 GXV917558 GNZ917558 GED917558 FUH917558 FKL917558 FAP917558 EQT917558 EGX917558 DXB917558 DNF917558 DDJ917558 CTN917558 CJR917558 BZV917558 BPZ917558 BGD917558 AWH917558 AML917558 ACP917558 ST917558 IX917558 F917558 WVJ852022 WLN852022 WBR852022 VRV852022 VHZ852022 UYD852022 UOH852022 UEL852022 TUP852022 TKT852022 TAX852022 SRB852022 SHF852022 RXJ852022 RNN852022 RDR852022 QTV852022 QJZ852022 QAD852022 PQH852022 PGL852022 OWP852022 OMT852022 OCX852022 NTB852022 NJF852022 MZJ852022 MPN852022 MFR852022 LVV852022 LLZ852022 LCD852022 KSH852022 KIL852022 JYP852022 JOT852022 JEX852022 IVB852022 ILF852022 IBJ852022 HRN852022 HHR852022 GXV852022 GNZ852022 GED852022 FUH852022 FKL852022 FAP852022 EQT852022 EGX852022 DXB852022 DNF852022 DDJ852022 CTN852022 CJR852022 BZV852022 BPZ852022 BGD852022 AWH852022 AML852022 ACP852022 ST852022 IX852022 F852022 WVJ786486 WLN786486 WBR786486 VRV786486 VHZ786486 UYD786486 UOH786486 UEL786486 TUP786486 TKT786486 TAX786486 SRB786486 SHF786486 RXJ786486 RNN786486 RDR786486 QTV786486 QJZ786486 QAD786486 PQH786486 PGL786486 OWP786486 OMT786486 OCX786486 NTB786486 NJF786486 MZJ786486 MPN786486 MFR786486 LVV786486 LLZ786486 LCD786486 KSH786486 KIL786486 JYP786486 JOT786486 JEX786486 IVB786486 ILF786486 IBJ786486 HRN786486 HHR786486 GXV786486 GNZ786486 GED786486 FUH786486 FKL786486 FAP786486 EQT786486 EGX786486 DXB786486 DNF786486 DDJ786486 CTN786486 CJR786486 BZV786486 BPZ786486 BGD786486 AWH786486 AML786486 ACP786486 ST786486 IX786486 F786486 WVJ720950 WLN720950 WBR720950 VRV720950 VHZ720950 UYD720950 UOH720950 UEL720950 TUP720950 TKT720950 TAX720950 SRB720950 SHF720950 RXJ720950 RNN720950 RDR720950 QTV720950 QJZ720950 QAD720950 PQH720950 PGL720950 OWP720950 OMT720950 OCX720950 NTB720950 NJF720950 MZJ720950 MPN720950 MFR720950 LVV720950 LLZ720950 LCD720950 KSH720950 KIL720950 JYP720950 JOT720950 JEX720950 IVB720950 ILF720950 IBJ720950 HRN720950 HHR720950 GXV720950 GNZ720950 GED720950 FUH720950 FKL720950 FAP720950 EQT720950 EGX720950 DXB720950 DNF720950 DDJ720950 CTN720950 CJR720950 BZV720950 BPZ720950 BGD720950 AWH720950 AML720950 ACP720950 ST720950 IX720950 F720950 WVJ655414 WLN655414 WBR655414 VRV655414 VHZ655414 UYD655414 UOH655414 UEL655414 TUP655414 TKT655414 TAX655414 SRB655414 SHF655414 RXJ655414 RNN655414 RDR655414 QTV655414 QJZ655414 QAD655414 PQH655414 PGL655414 OWP655414 OMT655414 OCX655414 NTB655414 NJF655414 MZJ655414 MPN655414 MFR655414 LVV655414 LLZ655414 LCD655414 KSH655414 KIL655414 JYP655414 JOT655414 JEX655414 IVB655414 ILF655414 IBJ655414 HRN655414 HHR655414 GXV655414 GNZ655414 GED655414 FUH655414 FKL655414 FAP655414 EQT655414 EGX655414 DXB655414 DNF655414 DDJ655414 CTN655414 CJR655414 BZV655414 BPZ655414 BGD655414 AWH655414 AML655414 ACP655414 ST655414 IX655414 F655414 WVJ589878 WLN589878 WBR589878 VRV589878 VHZ589878 UYD589878 UOH589878 UEL589878 TUP589878 TKT589878 TAX589878 SRB589878 SHF589878 RXJ589878 RNN589878 RDR589878 QTV589878 QJZ589878 QAD589878 PQH589878 PGL589878 OWP589878 OMT589878 OCX589878 NTB589878 NJF589878 MZJ589878 MPN589878 MFR589878 LVV589878 LLZ589878 LCD589878 KSH589878 KIL589878 JYP589878 JOT589878 JEX589878 IVB589878 ILF589878 IBJ589878 HRN589878 HHR589878 GXV589878 GNZ589878 GED589878 FUH589878 FKL589878 FAP589878 EQT589878 EGX589878 DXB589878 DNF589878 DDJ589878 CTN589878 CJR589878 BZV589878 BPZ589878 BGD589878 AWH589878 AML589878 ACP589878 ST589878 IX589878 F589878 WVJ524342 WLN524342 WBR524342 VRV524342 VHZ524342 UYD524342 UOH524342 UEL524342 TUP524342 TKT524342 TAX524342 SRB524342 SHF524342 RXJ524342 RNN524342 RDR524342 QTV524342 QJZ524342 QAD524342 PQH524342 PGL524342 OWP524342 OMT524342 OCX524342 NTB524342 NJF524342 MZJ524342 MPN524342 MFR524342 LVV524342 LLZ524342 LCD524342 KSH524342 KIL524342 JYP524342 JOT524342 JEX524342 IVB524342 ILF524342 IBJ524342 HRN524342 HHR524342 GXV524342 GNZ524342 GED524342 FUH524342 FKL524342 FAP524342 EQT524342 EGX524342 DXB524342 DNF524342 DDJ524342 CTN524342 CJR524342 BZV524342 BPZ524342 BGD524342 AWH524342 AML524342 ACP524342 ST524342 IX524342 F524342 WVJ458806 WLN458806 WBR458806 VRV458806 VHZ458806 UYD458806 UOH458806 UEL458806 TUP458806 TKT458806 TAX458806 SRB458806 SHF458806 RXJ458806 RNN458806 RDR458806 QTV458806 QJZ458806 QAD458806 PQH458806 PGL458806 OWP458806 OMT458806 OCX458806 NTB458806 NJF458806 MZJ458806 MPN458806 MFR458806 LVV458806 LLZ458806 LCD458806 KSH458806 KIL458806 JYP458806 JOT458806 JEX458806 IVB458806 ILF458806 IBJ458806 HRN458806 HHR458806 GXV458806 GNZ458806 GED458806 FUH458806 FKL458806 FAP458806 EQT458806 EGX458806 DXB458806 DNF458806 DDJ458806 CTN458806 CJR458806 BZV458806 BPZ458806 BGD458806 AWH458806 AML458806 ACP458806 ST458806 IX458806 F458806 WVJ393270 WLN393270 WBR393270 VRV393270 VHZ393270 UYD393270 UOH393270 UEL393270 TUP393270 TKT393270 TAX393270 SRB393270 SHF393270 RXJ393270 RNN393270 RDR393270 QTV393270 QJZ393270 QAD393270 PQH393270 PGL393270 OWP393270 OMT393270 OCX393270 NTB393270 NJF393270 MZJ393270 MPN393270 MFR393270 LVV393270 LLZ393270 LCD393270 KSH393270 KIL393270 JYP393270 JOT393270 JEX393270 IVB393270 ILF393270 IBJ393270 HRN393270 HHR393270 GXV393270 GNZ393270 GED393270 FUH393270 FKL393270 FAP393270 EQT393270 EGX393270 DXB393270 DNF393270 DDJ393270 CTN393270 CJR393270 BZV393270 BPZ393270 BGD393270 AWH393270 AML393270 ACP393270 ST393270 IX393270 F393270 WVJ327734 WLN327734 WBR327734 VRV327734 VHZ327734 UYD327734 UOH327734 UEL327734 TUP327734 TKT327734 TAX327734 SRB327734 SHF327734 RXJ327734 RNN327734 RDR327734 QTV327734 QJZ327734 QAD327734 PQH327734 PGL327734 OWP327734 OMT327734 OCX327734 NTB327734 NJF327734 MZJ327734 MPN327734 MFR327734 LVV327734 LLZ327734 LCD327734 KSH327734 KIL327734 JYP327734 JOT327734 JEX327734 IVB327734 ILF327734 IBJ327734 HRN327734 HHR327734 GXV327734 GNZ327734 GED327734 FUH327734 FKL327734 FAP327734 EQT327734 EGX327734 DXB327734 DNF327734 DDJ327734 CTN327734 CJR327734 BZV327734 BPZ327734 BGD327734 AWH327734 AML327734 ACP327734 ST327734 IX327734 F327734 WVJ262198 WLN262198 WBR262198 VRV262198 VHZ262198 UYD262198 UOH262198 UEL262198 TUP262198 TKT262198 TAX262198 SRB262198 SHF262198 RXJ262198 RNN262198 RDR262198 QTV262198 QJZ262198 QAD262198 PQH262198 PGL262198 OWP262198 OMT262198 OCX262198 NTB262198 NJF262198 MZJ262198 MPN262198 MFR262198 LVV262198 LLZ262198 LCD262198 KSH262198 KIL262198 JYP262198 JOT262198 JEX262198 IVB262198 ILF262198 IBJ262198 HRN262198 HHR262198 GXV262198 GNZ262198 GED262198 FUH262198 FKL262198 FAP262198 EQT262198 EGX262198 DXB262198 DNF262198 DDJ262198 CTN262198 CJR262198 BZV262198 BPZ262198 BGD262198 AWH262198 AML262198 ACP262198 ST262198 IX262198 F262198 WVJ196662 WLN196662 WBR196662 VRV196662 VHZ196662 UYD196662 UOH196662 UEL196662 TUP196662 TKT196662 TAX196662 SRB196662 SHF196662 RXJ196662 RNN196662 RDR196662 QTV196662 QJZ196662 QAD196662 PQH196662 PGL196662 OWP196662 OMT196662 OCX196662 NTB196662 NJF196662 MZJ196662 MPN196662 MFR196662 LVV196662 LLZ196662 LCD196662 KSH196662 KIL196662 JYP196662 JOT196662 JEX196662 IVB196662 ILF196662 IBJ196662 HRN196662 HHR196662 GXV196662 GNZ196662 GED196662 FUH196662 FKL196662 FAP196662 EQT196662 EGX196662 DXB196662 DNF196662 DDJ196662 CTN196662 CJR196662 BZV196662 BPZ196662 BGD196662 AWH196662 AML196662 ACP196662 ST196662 IX196662 F196662 WVJ131126 WLN131126 WBR131126 VRV131126 VHZ131126 UYD131126 UOH131126 UEL131126 TUP131126 TKT131126 TAX131126 SRB131126 SHF131126 RXJ131126 RNN131126 RDR131126 QTV131126 QJZ131126 QAD131126 PQH131126 PGL131126 OWP131126 OMT131126 OCX131126 NTB131126 NJF131126 MZJ131126 MPN131126 MFR131126 LVV131126 LLZ131126 LCD131126 KSH131126 KIL131126 JYP131126 JOT131126 JEX131126 IVB131126 ILF131126 IBJ131126 HRN131126 HHR131126 GXV131126 GNZ131126 GED131126 FUH131126 FKL131126 FAP131126 EQT131126 EGX131126 DXB131126 DNF131126 DDJ131126 CTN131126 CJR131126 BZV131126 BPZ131126 BGD131126 AWH131126 AML131126 ACP131126 ST131126 IX131126 F131126 WVJ65590 WLN65590 WBR65590 VRV65590 VHZ65590 UYD65590 UOH65590 UEL65590 TUP65590 TKT65590 TAX65590 SRB65590 SHF65590 RXJ65590 RNN65590 RDR65590 QTV65590 QJZ65590 QAD65590 PQH65590 PGL65590 OWP65590 OMT65590 OCX65590 NTB65590 NJF65590 MZJ65590 MPN65590 MFR65590 LVV65590 LLZ65590 LCD65590 KSH65590 KIL65590 JYP65590 JOT65590 JEX65590 IVB65590 ILF65590 IBJ65590 HRN65590 HHR65590 GXV65590 GNZ65590 GED65590 FUH65590 FKL65590 FAP65590 EQT65590 EGX65590 DXB65590 DNF65590 DDJ65590 CTN65590 CJR65590 BZV65590 BPZ65590 BGD65590 AWH65590 AML65590 ACP65590 ST65590 IX65590 F65590 WVJ49 WLN49 WBR49 VRV49 VHZ49 UYD49 UOH49 UEL49 TUP49 TKT49 TAX49 SRB49 SHF49 RXJ49 RNN49 RDR49 QTV49 QJZ49 QAD49 PQH49 PGL49 OWP49 OMT49 OCX49 NTB49 NJF49 MZJ49 MPN49 MFR49 LVV49 LLZ49 LCD49 KSH49 KIL49 JYP49 JOT49 JEX49 IVB49 ILF49 IBJ49 HRN49 HHR49 GXV49 GNZ49 GED49 FUH49 FKL49 FAP49 EQT49 EGX49 DXB49 DNF49 DDJ49 CTN49 CJR49 BZV49 BPZ49 BGD49 AWH49 AML49 ACP49 ST49 IX49 WVH983086 WLL983086 WBP983086 VRT983086 VHX983086 UYB983086 UOF983086 UEJ983086 TUN983086 TKR983086 TAV983086 SQZ983086 SHD983086 RXH983086 RNL983086 RDP983086 QTT983086 QJX983086 QAB983086 PQF983086 PGJ983086 OWN983086 OMR983086 OCV983086 NSZ983086 NJD983086 MZH983086 MPL983086 MFP983086 LVT983086 LLX983086 LCB983086 KSF983086 KIJ983086 JYN983086 JOR983086 JEV983086 IUZ983086 ILD983086 IBH983086 HRL983086 HHP983086 GXT983086 GNX983086 GEB983086 FUF983086 FKJ983086 FAN983086 EQR983086 EGV983086 DWZ983086 DND983086 DDH983086 CTL983086 CJP983086 BZT983086 BPX983086 BGB983086 AWF983086 AMJ983086 ACN983086 SR983086 IV983086 D983086 WVH917550 WLL917550 WBP917550 VRT917550 VHX917550 UYB917550 UOF917550 UEJ917550 TUN917550 TKR917550 TAV917550 SQZ917550 SHD917550 RXH917550 RNL917550 RDP917550 QTT917550 QJX917550 QAB917550 PQF917550 PGJ917550 OWN917550 OMR917550 OCV917550 NSZ917550 NJD917550 MZH917550 MPL917550 MFP917550 LVT917550 LLX917550 LCB917550 KSF917550 KIJ917550 JYN917550 JOR917550 JEV917550 IUZ917550 ILD917550 IBH917550 HRL917550 HHP917550 GXT917550 GNX917550 GEB917550 FUF917550 FKJ917550 FAN917550 EQR917550 EGV917550 DWZ917550 DND917550 DDH917550 CTL917550 CJP917550 BZT917550 BPX917550 BGB917550 AWF917550 AMJ917550 ACN917550 SR917550 IV917550 D917550 WVH852014 WLL852014 WBP852014 VRT852014 VHX852014 UYB852014 UOF852014 UEJ852014 TUN852014 TKR852014 TAV852014 SQZ852014 SHD852014 RXH852014 RNL852014 RDP852014 QTT852014 QJX852014 QAB852014 PQF852014 PGJ852014 OWN852014 OMR852014 OCV852014 NSZ852014 NJD852014 MZH852014 MPL852014 MFP852014 LVT852014 LLX852014 LCB852014 KSF852014 KIJ852014 JYN852014 JOR852014 JEV852014 IUZ852014 ILD852014 IBH852014 HRL852014 HHP852014 GXT852014 GNX852014 GEB852014 FUF852014 FKJ852014 FAN852014 EQR852014 EGV852014 DWZ852014 DND852014 DDH852014 CTL852014 CJP852014 BZT852014 BPX852014 BGB852014 AWF852014 AMJ852014 ACN852014 SR852014 IV852014 D852014 WVH786478 WLL786478 WBP786478 VRT786478 VHX786478 UYB786478 UOF786478 UEJ786478 TUN786478 TKR786478 TAV786478 SQZ786478 SHD786478 RXH786478 RNL786478 RDP786478 QTT786478 QJX786478 QAB786478 PQF786478 PGJ786478 OWN786478 OMR786478 OCV786478 NSZ786478 NJD786478 MZH786478 MPL786478 MFP786478 LVT786478 LLX786478 LCB786478 KSF786478 KIJ786478 JYN786478 JOR786478 JEV786478 IUZ786478 ILD786478 IBH786478 HRL786478 HHP786478 GXT786478 GNX786478 GEB786478 FUF786478 FKJ786478 FAN786478 EQR786478 EGV786478 DWZ786478 DND786478 DDH786478 CTL786478 CJP786478 BZT786478 BPX786478 BGB786478 AWF786478 AMJ786478 ACN786478 SR786478 IV786478 D786478 WVH720942 WLL720942 WBP720942 VRT720942 VHX720942 UYB720942 UOF720942 UEJ720942 TUN720942 TKR720942 TAV720942 SQZ720942 SHD720942 RXH720942 RNL720942 RDP720942 QTT720942 QJX720942 QAB720942 PQF720942 PGJ720942 OWN720942 OMR720942 OCV720942 NSZ720942 NJD720942 MZH720942 MPL720942 MFP720942 LVT720942 LLX720942 LCB720942 KSF720942 KIJ720942 JYN720942 JOR720942 JEV720942 IUZ720942 ILD720942 IBH720942 HRL720942 HHP720942 GXT720942 GNX720942 GEB720942 FUF720942 FKJ720942 FAN720942 EQR720942 EGV720942 DWZ720942 DND720942 DDH720942 CTL720942 CJP720942 BZT720942 BPX720942 BGB720942 AWF720942 AMJ720942 ACN720942 SR720942 IV720942 D720942 WVH655406 WLL655406 WBP655406 VRT655406 VHX655406 UYB655406 UOF655406 UEJ655406 TUN655406 TKR655406 TAV655406 SQZ655406 SHD655406 RXH655406 RNL655406 RDP655406 QTT655406 QJX655406 QAB655406 PQF655406 PGJ655406 OWN655406 OMR655406 OCV655406 NSZ655406 NJD655406 MZH655406 MPL655406 MFP655406 LVT655406 LLX655406 LCB655406 KSF655406 KIJ655406 JYN655406 JOR655406 JEV655406 IUZ655406 ILD655406 IBH655406 HRL655406 HHP655406 GXT655406 GNX655406 GEB655406 FUF655406 FKJ655406 FAN655406 EQR655406 EGV655406 DWZ655406 DND655406 DDH655406 CTL655406 CJP655406 BZT655406 BPX655406 BGB655406 AWF655406 AMJ655406 ACN655406 SR655406 IV655406 D655406 WVH589870 WLL589870 WBP589870 VRT589870 VHX589870 UYB589870 UOF589870 UEJ589870 TUN589870 TKR589870 TAV589870 SQZ589870 SHD589870 RXH589870 RNL589870 RDP589870 QTT589870 QJX589870 QAB589870 PQF589870 PGJ589870 OWN589870 OMR589870 OCV589870 NSZ589870 NJD589870 MZH589870 MPL589870 MFP589870 LVT589870 LLX589870 LCB589870 KSF589870 KIJ589870 JYN589870 JOR589870 JEV589870 IUZ589870 ILD589870 IBH589870 HRL589870 HHP589870 GXT589870 GNX589870 GEB589870 FUF589870 FKJ589870 FAN589870 EQR589870 EGV589870 DWZ589870 DND589870 DDH589870 CTL589870 CJP589870 BZT589870 BPX589870 BGB589870 AWF589870 AMJ589870 ACN589870 SR589870 IV589870 D589870 WVH524334 WLL524334 WBP524334 VRT524334 VHX524334 UYB524334 UOF524334 UEJ524334 TUN524334 TKR524334 TAV524334 SQZ524334 SHD524334 RXH524334 RNL524334 RDP524334 QTT524334 QJX524334 QAB524334 PQF524334 PGJ524334 OWN524334 OMR524334 OCV524334 NSZ524334 NJD524334 MZH524334 MPL524334 MFP524334 LVT524334 LLX524334 LCB524334 KSF524334 KIJ524334 JYN524334 JOR524334 JEV524334 IUZ524334 ILD524334 IBH524334 HRL524334 HHP524334 GXT524334 GNX524334 GEB524334 FUF524334 FKJ524334 FAN524334 EQR524334 EGV524334 DWZ524334 DND524334 DDH524334 CTL524334 CJP524334 BZT524334 BPX524334 BGB524334 AWF524334 AMJ524334 ACN524334 SR524334 IV524334 D524334 WVH458798 WLL458798 WBP458798 VRT458798 VHX458798 UYB458798 UOF458798 UEJ458798 TUN458798 TKR458798 TAV458798 SQZ458798 SHD458798 RXH458798 RNL458798 RDP458798 QTT458798 QJX458798 QAB458798 PQF458798 PGJ458798 OWN458798 OMR458798 OCV458798 NSZ458798 NJD458798 MZH458798 MPL458798 MFP458798 LVT458798 LLX458798 LCB458798 KSF458798 KIJ458798 JYN458798 JOR458798 JEV458798 IUZ458798 ILD458798 IBH458798 HRL458798 HHP458798 GXT458798 GNX458798 GEB458798 FUF458798 FKJ458798 FAN458798 EQR458798 EGV458798 DWZ458798 DND458798 DDH458798 CTL458798 CJP458798 BZT458798 BPX458798 BGB458798 AWF458798 AMJ458798 ACN458798 SR458798 IV458798 D458798 WVH393262 WLL393262 WBP393262 VRT393262 VHX393262 UYB393262 UOF393262 UEJ393262 TUN393262 TKR393262 TAV393262 SQZ393262 SHD393262 RXH393262 RNL393262 RDP393262 QTT393262 QJX393262 QAB393262 PQF393262 PGJ393262 OWN393262 OMR393262 OCV393262 NSZ393262 NJD393262 MZH393262 MPL393262 MFP393262 LVT393262 LLX393262 LCB393262 KSF393262 KIJ393262 JYN393262 JOR393262 JEV393262 IUZ393262 ILD393262 IBH393262 HRL393262 HHP393262 GXT393262 GNX393262 GEB393262 FUF393262 FKJ393262 FAN393262 EQR393262 EGV393262 DWZ393262 DND393262 DDH393262 CTL393262 CJP393262 BZT393262 BPX393262 BGB393262 AWF393262 AMJ393262 ACN393262 SR393262 IV393262 D393262 WVH327726 WLL327726 WBP327726 VRT327726 VHX327726 UYB327726 UOF327726 UEJ327726 TUN327726 TKR327726 TAV327726 SQZ327726 SHD327726 RXH327726 RNL327726 RDP327726 QTT327726 QJX327726 QAB327726 PQF327726 PGJ327726 OWN327726 OMR327726 OCV327726 NSZ327726 NJD327726 MZH327726 MPL327726 MFP327726 LVT327726 LLX327726 LCB327726 KSF327726 KIJ327726 JYN327726 JOR327726 JEV327726 IUZ327726 ILD327726 IBH327726 HRL327726 HHP327726 GXT327726 GNX327726 GEB327726 FUF327726 FKJ327726 FAN327726 EQR327726 EGV327726 DWZ327726 DND327726 DDH327726 CTL327726 CJP327726 BZT327726 BPX327726 BGB327726 AWF327726 AMJ327726 ACN327726 SR327726 IV327726 D327726 WVH262190 WLL262190 WBP262190 VRT262190 VHX262190 UYB262190 UOF262190 UEJ262190 TUN262190 TKR262190 TAV262190 SQZ262190 SHD262190 RXH262190 RNL262190 RDP262190 QTT262190 QJX262190 QAB262190 PQF262190 PGJ262190 OWN262190 OMR262190 OCV262190 NSZ262190 NJD262190 MZH262190 MPL262190 MFP262190 LVT262190 LLX262190 LCB262190 KSF262190 KIJ262190 JYN262190 JOR262190 JEV262190 IUZ262190 ILD262190 IBH262190 HRL262190 HHP262190 GXT262190 GNX262190 GEB262190 FUF262190 FKJ262190 FAN262190 EQR262190 EGV262190 DWZ262190 DND262190 DDH262190 CTL262190 CJP262190 BZT262190 BPX262190 BGB262190 AWF262190 AMJ262190 ACN262190 SR262190 IV262190 D262190 WVH196654 WLL196654 WBP196654 VRT196654 VHX196654 UYB196654 UOF196654 UEJ196654 TUN196654 TKR196654 TAV196654 SQZ196654 SHD196654 RXH196654 RNL196654 RDP196654 QTT196654 QJX196654 QAB196654 PQF196654 PGJ196654 OWN196654 OMR196654 OCV196654 NSZ196654 NJD196654 MZH196654 MPL196654 MFP196654 LVT196654 LLX196654 LCB196654 KSF196654 KIJ196654 JYN196654 JOR196654 JEV196654 IUZ196654 ILD196654 IBH196654 HRL196654 HHP196654 GXT196654 GNX196654 GEB196654 FUF196654 FKJ196654 FAN196654 EQR196654 EGV196654 DWZ196654 DND196654 DDH196654 CTL196654 CJP196654 BZT196654 BPX196654 BGB196654 AWF196654 AMJ196654 ACN196654 SR196654 IV196654 D196654 WVH131118 WLL131118 WBP131118 VRT131118 VHX131118 UYB131118 UOF131118 UEJ131118 TUN131118 TKR131118 TAV131118 SQZ131118 SHD131118 RXH131118 RNL131118 RDP131118 QTT131118 QJX131118 QAB131118 PQF131118 PGJ131118 OWN131118 OMR131118 OCV131118 NSZ131118 NJD131118 MZH131118 MPL131118 MFP131118 LVT131118 LLX131118 LCB131118 KSF131118 KIJ131118 JYN131118 JOR131118 JEV131118 IUZ131118 ILD131118 IBH131118 HRL131118 HHP131118 GXT131118 GNX131118 GEB131118 FUF131118 FKJ131118 FAN131118 EQR131118 EGV131118 DWZ131118 DND131118 DDH131118 CTL131118 CJP131118 BZT131118 BPX131118 BGB131118 AWF131118 AMJ131118 ACN131118 SR131118 IV131118 D131118 WVH65582 WLL65582 WBP65582 VRT65582 VHX65582 UYB65582 UOF65582 UEJ65582 TUN65582 TKR65582 TAV65582 SQZ65582 SHD65582 RXH65582 RNL65582 RDP65582 QTT65582 QJX65582 QAB65582 PQF65582 PGJ65582 OWN65582 OMR65582 OCV65582 NSZ65582 NJD65582 MZH65582 MPL65582 MFP65582 LVT65582 LLX65582 LCB65582 KSF65582 KIJ65582 JYN65582 JOR65582 JEV65582 IUZ65582 ILD65582 IBH65582 HRL65582 HHP65582 GXT65582 GNX65582 GEB65582 FUF65582 FKJ65582 FAN65582 EQR65582 EGV65582 DWZ65582 DND65582 DDH65582 CTL65582 CJP65582 BZT65582 BPX65582 BGB65582 AWF65582 AMJ65582 ACN65582 SR65582 IV65582 D65582 WVH41 WLL41 WBP41 VRT41 VHX41 UYB41 UOF41 UEJ41 TUN41 TKR41 TAV41 SQZ41 SHD41 RXH41 RNL41 RDP41 QTT41 QJX41 QAB41 PQF41 PGJ41 OWN41 OMR41 OCV41 NSZ41 NJD41 MZH41 MPL41 MFP41 LVT41 LLX41 LCB41 KSF41 KIJ41 JYN41 JOR41 JEV41 IUZ41 ILD41 IBH41 HRL41 HHP41 GXT41 GNX41 GEB41 FUF41 FKJ41 FAN41 EQR41 EGV41 DWZ41 DND41 DDH41 CTL41 CJP41 BZT41 BPX41 BGB41 AWF41 AMJ41 ACN41 SR41 IV41 WVH983088">
      <formula1>#REF!</formula1>
    </dataValidation>
    <dataValidation type="list" allowBlank="1" showInputMessage="1" showErrorMessage="1" sqref="WVH983061 IV16 SR16 ACN16 AMJ16 AWF16 BGB16 BPX16 BZT16 CJP16 CTL16 DDH16 DND16 DWZ16 EGV16 EQR16 FAN16 FKJ16 FUF16 GEB16 GNX16 GXT16 HHP16 HRL16 IBH16 ILD16 IUZ16 JEV16 JOR16 JYN16 KIJ16 KSF16 LCB16 LLX16 LVT16 MFP16 MPL16 MZH16 NJD16 NSZ16 OCV16 OMR16 OWN16 PGJ16 PQF16 QAB16 QJX16 QTT16 RDP16 RNL16 RXH16 SHD16 SQZ16 TAV16 TKR16 TUN16 UEJ16 UOF16 UYB16 VHX16 VRT16 WBP16 WLL16 WVH16 D65557 IV65557 SR65557 ACN65557 AMJ65557 AWF65557 BGB65557 BPX65557 BZT65557 CJP65557 CTL65557 DDH65557 DND65557 DWZ65557 EGV65557 EQR65557 FAN65557 FKJ65557 FUF65557 GEB65557 GNX65557 GXT65557 HHP65557 HRL65557 IBH65557 ILD65557 IUZ65557 JEV65557 JOR65557 JYN65557 KIJ65557 KSF65557 LCB65557 LLX65557 LVT65557 MFP65557 MPL65557 MZH65557 NJD65557 NSZ65557 OCV65557 OMR65557 OWN65557 PGJ65557 PQF65557 QAB65557 QJX65557 QTT65557 RDP65557 RNL65557 RXH65557 SHD65557 SQZ65557 TAV65557 TKR65557 TUN65557 UEJ65557 UOF65557 UYB65557 VHX65557 VRT65557 WBP65557 WLL65557 WVH65557 D131093 IV131093 SR131093 ACN131093 AMJ131093 AWF131093 BGB131093 BPX131093 BZT131093 CJP131093 CTL131093 DDH131093 DND131093 DWZ131093 EGV131093 EQR131093 FAN131093 FKJ131093 FUF131093 GEB131093 GNX131093 GXT131093 HHP131093 HRL131093 IBH131093 ILD131093 IUZ131093 JEV131093 JOR131093 JYN131093 KIJ131093 KSF131093 LCB131093 LLX131093 LVT131093 MFP131093 MPL131093 MZH131093 NJD131093 NSZ131093 OCV131093 OMR131093 OWN131093 PGJ131093 PQF131093 QAB131093 QJX131093 QTT131093 RDP131093 RNL131093 RXH131093 SHD131093 SQZ131093 TAV131093 TKR131093 TUN131093 UEJ131093 UOF131093 UYB131093 VHX131093 VRT131093 WBP131093 WLL131093 WVH131093 D196629 IV196629 SR196629 ACN196629 AMJ196629 AWF196629 BGB196629 BPX196629 BZT196629 CJP196629 CTL196629 DDH196629 DND196629 DWZ196629 EGV196629 EQR196629 FAN196629 FKJ196629 FUF196629 GEB196629 GNX196629 GXT196629 HHP196629 HRL196629 IBH196629 ILD196629 IUZ196629 JEV196629 JOR196629 JYN196629 KIJ196629 KSF196629 LCB196629 LLX196629 LVT196629 MFP196629 MPL196629 MZH196629 NJD196629 NSZ196629 OCV196629 OMR196629 OWN196629 PGJ196629 PQF196629 QAB196629 QJX196629 QTT196629 RDP196629 RNL196629 RXH196629 SHD196629 SQZ196629 TAV196629 TKR196629 TUN196629 UEJ196629 UOF196629 UYB196629 VHX196629 VRT196629 WBP196629 WLL196629 WVH196629 D262165 IV262165 SR262165 ACN262165 AMJ262165 AWF262165 BGB262165 BPX262165 BZT262165 CJP262165 CTL262165 DDH262165 DND262165 DWZ262165 EGV262165 EQR262165 FAN262165 FKJ262165 FUF262165 GEB262165 GNX262165 GXT262165 HHP262165 HRL262165 IBH262165 ILD262165 IUZ262165 JEV262165 JOR262165 JYN262165 KIJ262165 KSF262165 LCB262165 LLX262165 LVT262165 MFP262165 MPL262165 MZH262165 NJD262165 NSZ262165 OCV262165 OMR262165 OWN262165 PGJ262165 PQF262165 QAB262165 QJX262165 QTT262165 RDP262165 RNL262165 RXH262165 SHD262165 SQZ262165 TAV262165 TKR262165 TUN262165 UEJ262165 UOF262165 UYB262165 VHX262165 VRT262165 WBP262165 WLL262165 WVH262165 D327701 IV327701 SR327701 ACN327701 AMJ327701 AWF327701 BGB327701 BPX327701 BZT327701 CJP327701 CTL327701 DDH327701 DND327701 DWZ327701 EGV327701 EQR327701 FAN327701 FKJ327701 FUF327701 GEB327701 GNX327701 GXT327701 HHP327701 HRL327701 IBH327701 ILD327701 IUZ327701 JEV327701 JOR327701 JYN327701 KIJ327701 KSF327701 LCB327701 LLX327701 LVT327701 MFP327701 MPL327701 MZH327701 NJD327701 NSZ327701 OCV327701 OMR327701 OWN327701 PGJ327701 PQF327701 QAB327701 QJX327701 QTT327701 RDP327701 RNL327701 RXH327701 SHD327701 SQZ327701 TAV327701 TKR327701 TUN327701 UEJ327701 UOF327701 UYB327701 VHX327701 VRT327701 WBP327701 WLL327701 WVH327701 D393237 IV393237 SR393237 ACN393237 AMJ393237 AWF393237 BGB393237 BPX393237 BZT393237 CJP393237 CTL393237 DDH393237 DND393237 DWZ393237 EGV393237 EQR393237 FAN393237 FKJ393237 FUF393237 GEB393237 GNX393237 GXT393237 HHP393237 HRL393237 IBH393237 ILD393237 IUZ393237 JEV393237 JOR393237 JYN393237 KIJ393237 KSF393237 LCB393237 LLX393237 LVT393237 MFP393237 MPL393237 MZH393237 NJD393237 NSZ393237 OCV393237 OMR393237 OWN393237 PGJ393237 PQF393237 QAB393237 QJX393237 QTT393237 RDP393237 RNL393237 RXH393237 SHD393237 SQZ393237 TAV393237 TKR393237 TUN393237 UEJ393237 UOF393237 UYB393237 VHX393237 VRT393237 WBP393237 WLL393237 WVH393237 D458773 IV458773 SR458773 ACN458773 AMJ458773 AWF458773 BGB458773 BPX458773 BZT458773 CJP458773 CTL458773 DDH458773 DND458773 DWZ458773 EGV458773 EQR458773 FAN458773 FKJ458773 FUF458773 GEB458773 GNX458773 GXT458773 HHP458773 HRL458773 IBH458773 ILD458773 IUZ458773 JEV458773 JOR458773 JYN458773 KIJ458773 KSF458773 LCB458773 LLX458773 LVT458773 MFP458773 MPL458773 MZH458773 NJD458773 NSZ458773 OCV458773 OMR458773 OWN458773 PGJ458773 PQF458773 QAB458773 QJX458773 QTT458773 RDP458773 RNL458773 RXH458773 SHD458773 SQZ458773 TAV458773 TKR458773 TUN458773 UEJ458773 UOF458773 UYB458773 VHX458773 VRT458773 WBP458773 WLL458773 WVH458773 D524309 IV524309 SR524309 ACN524309 AMJ524309 AWF524309 BGB524309 BPX524309 BZT524309 CJP524309 CTL524309 DDH524309 DND524309 DWZ524309 EGV524309 EQR524309 FAN524309 FKJ524309 FUF524309 GEB524309 GNX524309 GXT524309 HHP524309 HRL524309 IBH524309 ILD524309 IUZ524309 JEV524309 JOR524309 JYN524309 KIJ524309 KSF524309 LCB524309 LLX524309 LVT524309 MFP524309 MPL524309 MZH524309 NJD524309 NSZ524309 OCV524309 OMR524309 OWN524309 PGJ524309 PQF524309 QAB524309 QJX524309 QTT524309 RDP524309 RNL524309 RXH524309 SHD524309 SQZ524309 TAV524309 TKR524309 TUN524309 UEJ524309 UOF524309 UYB524309 VHX524309 VRT524309 WBP524309 WLL524309 WVH524309 D589845 IV589845 SR589845 ACN589845 AMJ589845 AWF589845 BGB589845 BPX589845 BZT589845 CJP589845 CTL589845 DDH589845 DND589845 DWZ589845 EGV589845 EQR589845 FAN589845 FKJ589845 FUF589845 GEB589845 GNX589845 GXT589845 HHP589845 HRL589845 IBH589845 ILD589845 IUZ589845 JEV589845 JOR589845 JYN589845 KIJ589845 KSF589845 LCB589845 LLX589845 LVT589845 MFP589845 MPL589845 MZH589845 NJD589845 NSZ589845 OCV589845 OMR589845 OWN589845 PGJ589845 PQF589845 QAB589845 QJX589845 QTT589845 RDP589845 RNL589845 RXH589845 SHD589845 SQZ589845 TAV589845 TKR589845 TUN589845 UEJ589845 UOF589845 UYB589845 VHX589845 VRT589845 WBP589845 WLL589845 WVH589845 D655381 IV655381 SR655381 ACN655381 AMJ655381 AWF655381 BGB655381 BPX655381 BZT655381 CJP655381 CTL655381 DDH655381 DND655381 DWZ655381 EGV655381 EQR655381 FAN655381 FKJ655381 FUF655381 GEB655381 GNX655381 GXT655381 HHP655381 HRL655381 IBH655381 ILD655381 IUZ655381 JEV655381 JOR655381 JYN655381 KIJ655381 KSF655381 LCB655381 LLX655381 LVT655381 MFP655381 MPL655381 MZH655381 NJD655381 NSZ655381 OCV655381 OMR655381 OWN655381 PGJ655381 PQF655381 QAB655381 QJX655381 QTT655381 RDP655381 RNL655381 RXH655381 SHD655381 SQZ655381 TAV655381 TKR655381 TUN655381 UEJ655381 UOF655381 UYB655381 VHX655381 VRT655381 WBP655381 WLL655381 WVH655381 D720917 IV720917 SR720917 ACN720917 AMJ720917 AWF720917 BGB720917 BPX720917 BZT720917 CJP720917 CTL720917 DDH720917 DND720917 DWZ720917 EGV720917 EQR720917 FAN720917 FKJ720917 FUF720917 GEB720917 GNX720917 GXT720917 HHP720917 HRL720917 IBH720917 ILD720917 IUZ720917 JEV720917 JOR720917 JYN720917 KIJ720917 KSF720917 LCB720917 LLX720917 LVT720917 MFP720917 MPL720917 MZH720917 NJD720917 NSZ720917 OCV720917 OMR720917 OWN720917 PGJ720917 PQF720917 QAB720917 QJX720917 QTT720917 RDP720917 RNL720917 RXH720917 SHD720917 SQZ720917 TAV720917 TKR720917 TUN720917 UEJ720917 UOF720917 UYB720917 VHX720917 VRT720917 WBP720917 WLL720917 WVH720917 D786453 IV786453 SR786453 ACN786453 AMJ786453 AWF786453 BGB786453 BPX786453 BZT786453 CJP786453 CTL786453 DDH786453 DND786453 DWZ786453 EGV786453 EQR786453 FAN786453 FKJ786453 FUF786453 GEB786453 GNX786453 GXT786453 HHP786453 HRL786453 IBH786453 ILD786453 IUZ786453 JEV786453 JOR786453 JYN786453 KIJ786453 KSF786453 LCB786453 LLX786453 LVT786453 MFP786453 MPL786453 MZH786453 NJD786453 NSZ786453 OCV786453 OMR786453 OWN786453 PGJ786453 PQF786453 QAB786453 QJX786453 QTT786453 RDP786453 RNL786453 RXH786453 SHD786453 SQZ786453 TAV786453 TKR786453 TUN786453 UEJ786453 UOF786453 UYB786453 VHX786453 VRT786453 WBP786453 WLL786453 WVH786453 D851989 IV851989 SR851989 ACN851989 AMJ851989 AWF851989 BGB851989 BPX851989 BZT851989 CJP851989 CTL851989 DDH851989 DND851989 DWZ851989 EGV851989 EQR851989 FAN851989 FKJ851989 FUF851989 GEB851989 GNX851989 GXT851989 HHP851989 HRL851989 IBH851989 ILD851989 IUZ851989 JEV851989 JOR851989 JYN851989 KIJ851989 KSF851989 LCB851989 LLX851989 LVT851989 MFP851989 MPL851989 MZH851989 NJD851989 NSZ851989 OCV851989 OMR851989 OWN851989 PGJ851989 PQF851989 QAB851989 QJX851989 QTT851989 RDP851989 RNL851989 RXH851989 SHD851989 SQZ851989 TAV851989 TKR851989 TUN851989 UEJ851989 UOF851989 UYB851989 VHX851989 VRT851989 WBP851989 WLL851989 WVH851989 D917525 IV917525 SR917525 ACN917525 AMJ917525 AWF917525 BGB917525 BPX917525 BZT917525 CJP917525 CTL917525 DDH917525 DND917525 DWZ917525 EGV917525 EQR917525 FAN917525 FKJ917525 FUF917525 GEB917525 GNX917525 GXT917525 HHP917525 HRL917525 IBH917525 ILD917525 IUZ917525 JEV917525 JOR917525 JYN917525 KIJ917525 KSF917525 LCB917525 LLX917525 LVT917525 MFP917525 MPL917525 MZH917525 NJD917525 NSZ917525 OCV917525 OMR917525 OWN917525 PGJ917525 PQF917525 QAB917525 QJX917525 QTT917525 RDP917525 RNL917525 RXH917525 SHD917525 SQZ917525 TAV917525 TKR917525 TUN917525 UEJ917525 UOF917525 UYB917525 VHX917525 VRT917525 WBP917525 WLL917525 WVH917525 D983061 IV983061 SR983061 ACN983061 AMJ983061 AWF983061 BGB983061 BPX983061 BZT983061 CJP983061 CTL983061 DDH983061 DND983061 DWZ983061 EGV983061 EQR983061 FAN983061 FKJ983061 FUF983061 GEB983061 GNX983061 GXT983061 HHP983061 HRL983061 IBH983061 ILD983061 IUZ983061 JEV983061 JOR983061 JYN983061 KIJ983061 KSF983061 LCB983061 LLX983061 LVT983061 MFP983061 MPL983061 MZH983061 NJD983061 NSZ983061 OCV983061 OMR983061 OWN983061 PGJ983061 PQF983061 QAB983061 QJX983061 QTT983061 RDP983061 RNL983061 RXH983061 SHD983061 SQZ983061 TAV983061 TKR983061 TUN983061 UEJ983061 UOF983061 UYB983061 VHX983061 VRT983061 WBP983061 WLL983061">
      <formula1>$IL$4:$IL$5</formula1>
    </dataValidation>
    <dataValidation operator="equal" allowBlank="1" showInputMessage="1" showErrorMessage="1" sqref="D122 IV122 SR122 ACN122 AMJ122 AWF122 BGB122 BPX122 BZT122 CJP122 CTL122 DDH122 DND122 DWZ122 EGV122 EQR122 FAN122 FKJ122 FUF122 GEB122 GNX122 GXT122 HHP122 HRL122 IBH122 ILD122 IUZ122 JEV122 JOR122 JYN122 KIJ122 KSF122 LCB122 LLX122 LVT122 MFP122 MPL122 MZH122 NJD122 NSZ122 OCV122 OMR122 OWN122 PGJ122 PQF122 QAB122 QJX122 QTT122 RDP122 RNL122 RXH122 SHD122 SQZ122 TAV122 TKR122 TUN122 UEJ122 UOF122 UYB122 VHX122 VRT122 WBP122 WLL122 WVH122 D65663 IV65663 SR65663 ACN65663 AMJ65663 AWF65663 BGB65663 BPX65663 BZT65663 CJP65663 CTL65663 DDH65663 DND65663 DWZ65663 EGV65663 EQR65663 FAN65663 FKJ65663 FUF65663 GEB65663 GNX65663 GXT65663 HHP65663 HRL65663 IBH65663 ILD65663 IUZ65663 JEV65663 JOR65663 JYN65663 KIJ65663 KSF65663 LCB65663 LLX65663 LVT65663 MFP65663 MPL65663 MZH65663 NJD65663 NSZ65663 OCV65663 OMR65663 OWN65663 PGJ65663 PQF65663 QAB65663 QJX65663 QTT65663 RDP65663 RNL65663 RXH65663 SHD65663 SQZ65663 TAV65663 TKR65663 TUN65663 UEJ65663 UOF65663 UYB65663 VHX65663 VRT65663 WBP65663 WLL65663 WVH65663 D131199 IV131199 SR131199 ACN131199 AMJ131199 AWF131199 BGB131199 BPX131199 BZT131199 CJP131199 CTL131199 DDH131199 DND131199 DWZ131199 EGV131199 EQR131199 FAN131199 FKJ131199 FUF131199 GEB131199 GNX131199 GXT131199 HHP131199 HRL131199 IBH131199 ILD131199 IUZ131199 JEV131199 JOR131199 JYN131199 KIJ131199 KSF131199 LCB131199 LLX131199 LVT131199 MFP131199 MPL131199 MZH131199 NJD131199 NSZ131199 OCV131199 OMR131199 OWN131199 PGJ131199 PQF131199 QAB131199 QJX131199 QTT131199 RDP131199 RNL131199 RXH131199 SHD131199 SQZ131199 TAV131199 TKR131199 TUN131199 UEJ131199 UOF131199 UYB131199 VHX131199 VRT131199 WBP131199 WLL131199 WVH131199 D196735 IV196735 SR196735 ACN196735 AMJ196735 AWF196735 BGB196735 BPX196735 BZT196735 CJP196735 CTL196735 DDH196735 DND196735 DWZ196735 EGV196735 EQR196735 FAN196735 FKJ196735 FUF196735 GEB196735 GNX196735 GXT196735 HHP196735 HRL196735 IBH196735 ILD196735 IUZ196735 JEV196735 JOR196735 JYN196735 KIJ196735 KSF196735 LCB196735 LLX196735 LVT196735 MFP196735 MPL196735 MZH196735 NJD196735 NSZ196735 OCV196735 OMR196735 OWN196735 PGJ196735 PQF196735 QAB196735 QJX196735 QTT196735 RDP196735 RNL196735 RXH196735 SHD196735 SQZ196735 TAV196735 TKR196735 TUN196735 UEJ196735 UOF196735 UYB196735 VHX196735 VRT196735 WBP196735 WLL196735 WVH196735 D262271 IV262271 SR262271 ACN262271 AMJ262271 AWF262271 BGB262271 BPX262271 BZT262271 CJP262271 CTL262271 DDH262271 DND262271 DWZ262271 EGV262271 EQR262271 FAN262271 FKJ262271 FUF262271 GEB262271 GNX262271 GXT262271 HHP262271 HRL262271 IBH262271 ILD262271 IUZ262271 JEV262271 JOR262271 JYN262271 KIJ262271 KSF262271 LCB262271 LLX262271 LVT262271 MFP262271 MPL262271 MZH262271 NJD262271 NSZ262271 OCV262271 OMR262271 OWN262271 PGJ262271 PQF262271 QAB262271 QJX262271 QTT262271 RDP262271 RNL262271 RXH262271 SHD262271 SQZ262271 TAV262271 TKR262271 TUN262271 UEJ262271 UOF262271 UYB262271 VHX262271 VRT262271 WBP262271 WLL262271 WVH262271 D327807 IV327807 SR327807 ACN327807 AMJ327807 AWF327807 BGB327807 BPX327807 BZT327807 CJP327807 CTL327807 DDH327807 DND327807 DWZ327807 EGV327807 EQR327807 FAN327807 FKJ327807 FUF327807 GEB327807 GNX327807 GXT327807 HHP327807 HRL327807 IBH327807 ILD327807 IUZ327807 JEV327807 JOR327807 JYN327807 KIJ327807 KSF327807 LCB327807 LLX327807 LVT327807 MFP327807 MPL327807 MZH327807 NJD327807 NSZ327807 OCV327807 OMR327807 OWN327807 PGJ327807 PQF327807 QAB327807 QJX327807 QTT327807 RDP327807 RNL327807 RXH327807 SHD327807 SQZ327807 TAV327807 TKR327807 TUN327807 UEJ327807 UOF327807 UYB327807 VHX327807 VRT327807 WBP327807 WLL327807 WVH327807 D393343 IV393343 SR393343 ACN393343 AMJ393343 AWF393343 BGB393343 BPX393343 BZT393343 CJP393343 CTL393343 DDH393343 DND393343 DWZ393343 EGV393343 EQR393343 FAN393343 FKJ393343 FUF393343 GEB393343 GNX393343 GXT393343 HHP393343 HRL393343 IBH393343 ILD393343 IUZ393343 JEV393343 JOR393343 JYN393343 KIJ393343 KSF393343 LCB393343 LLX393343 LVT393343 MFP393343 MPL393343 MZH393343 NJD393343 NSZ393343 OCV393343 OMR393343 OWN393343 PGJ393343 PQF393343 QAB393343 QJX393343 QTT393343 RDP393343 RNL393343 RXH393343 SHD393343 SQZ393343 TAV393343 TKR393343 TUN393343 UEJ393343 UOF393343 UYB393343 VHX393343 VRT393343 WBP393343 WLL393343 WVH393343 D458879 IV458879 SR458879 ACN458879 AMJ458879 AWF458879 BGB458879 BPX458879 BZT458879 CJP458879 CTL458879 DDH458879 DND458879 DWZ458879 EGV458879 EQR458879 FAN458879 FKJ458879 FUF458879 GEB458879 GNX458879 GXT458879 HHP458879 HRL458879 IBH458879 ILD458879 IUZ458879 JEV458879 JOR458879 JYN458879 KIJ458879 KSF458879 LCB458879 LLX458879 LVT458879 MFP458879 MPL458879 MZH458879 NJD458879 NSZ458879 OCV458879 OMR458879 OWN458879 PGJ458879 PQF458879 QAB458879 QJX458879 QTT458879 RDP458879 RNL458879 RXH458879 SHD458879 SQZ458879 TAV458879 TKR458879 TUN458879 UEJ458879 UOF458879 UYB458879 VHX458879 VRT458879 WBP458879 WLL458879 WVH458879 D524415 IV524415 SR524415 ACN524415 AMJ524415 AWF524415 BGB524415 BPX524415 BZT524415 CJP524415 CTL524415 DDH524415 DND524415 DWZ524415 EGV524415 EQR524415 FAN524415 FKJ524415 FUF524415 GEB524415 GNX524415 GXT524415 HHP524415 HRL524415 IBH524415 ILD524415 IUZ524415 JEV524415 JOR524415 JYN524415 KIJ524415 KSF524415 LCB524415 LLX524415 LVT524415 MFP524415 MPL524415 MZH524415 NJD524415 NSZ524415 OCV524415 OMR524415 OWN524415 PGJ524415 PQF524415 QAB524415 QJX524415 QTT524415 RDP524415 RNL524415 RXH524415 SHD524415 SQZ524415 TAV524415 TKR524415 TUN524415 UEJ524415 UOF524415 UYB524415 VHX524415 VRT524415 WBP524415 WLL524415 WVH524415 D589951 IV589951 SR589951 ACN589951 AMJ589951 AWF589951 BGB589951 BPX589951 BZT589951 CJP589951 CTL589951 DDH589951 DND589951 DWZ589951 EGV589951 EQR589951 FAN589951 FKJ589951 FUF589951 GEB589951 GNX589951 GXT589951 HHP589951 HRL589951 IBH589951 ILD589951 IUZ589951 JEV589951 JOR589951 JYN589951 KIJ589951 KSF589951 LCB589951 LLX589951 LVT589951 MFP589951 MPL589951 MZH589951 NJD589951 NSZ589951 OCV589951 OMR589951 OWN589951 PGJ589951 PQF589951 QAB589951 QJX589951 QTT589951 RDP589951 RNL589951 RXH589951 SHD589951 SQZ589951 TAV589951 TKR589951 TUN589951 UEJ589951 UOF589951 UYB589951 VHX589951 VRT589951 WBP589951 WLL589951 WVH589951 D655487 IV655487 SR655487 ACN655487 AMJ655487 AWF655487 BGB655487 BPX655487 BZT655487 CJP655487 CTL655487 DDH655487 DND655487 DWZ655487 EGV655487 EQR655487 FAN655487 FKJ655487 FUF655487 GEB655487 GNX655487 GXT655487 HHP655487 HRL655487 IBH655487 ILD655487 IUZ655487 JEV655487 JOR655487 JYN655487 KIJ655487 KSF655487 LCB655487 LLX655487 LVT655487 MFP655487 MPL655487 MZH655487 NJD655487 NSZ655487 OCV655487 OMR655487 OWN655487 PGJ655487 PQF655487 QAB655487 QJX655487 QTT655487 RDP655487 RNL655487 RXH655487 SHD655487 SQZ655487 TAV655487 TKR655487 TUN655487 UEJ655487 UOF655487 UYB655487 VHX655487 VRT655487 WBP655487 WLL655487 WVH655487 D721023 IV721023 SR721023 ACN721023 AMJ721023 AWF721023 BGB721023 BPX721023 BZT721023 CJP721023 CTL721023 DDH721023 DND721023 DWZ721023 EGV721023 EQR721023 FAN721023 FKJ721023 FUF721023 GEB721023 GNX721023 GXT721023 HHP721023 HRL721023 IBH721023 ILD721023 IUZ721023 JEV721023 JOR721023 JYN721023 KIJ721023 KSF721023 LCB721023 LLX721023 LVT721023 MFP721023 MPL721023 MZH721023 NJD721023 NSZ721023 OCV721023 OMR721023 OWN721023 PGJ721023 PQF721023 QAB721023 QJX721023 QTT721023 RDP721023 RNL721023 RXH721023 SHD721023 SQZ721023 TAV721023 TKR721023 TUN721023 UEJ721023 UOF721023 UYB721023 VHX721023 VRT721023 WBP721023 WLL721023 WVH721023 D786559 IV786559 SR786559 ACN786559 AMJ786559 AWF786559 BGB786559 BPX786559 BZT786559 CJP786559 CTL786559 DDH786559 DND786559 DWZ786559 EGV786559 EQR786559 FAN786559 FKJ786559 FUF786559 GEB786559 GNX786559 GXT786559 HHP786559 HRL786559 IBH786559 ILD786559 IUZ786559 JEV786559 JOR786559 JYN786559 KIJ786559 KSF786559 LCB786559 LLX786559 LVT786559 MFP786559 MPL786559 MZH786559 NJD786559 NSZ786559 OCV786559 OMR786559 OWN786559 PGJ786559 PQF786559 QAB786559 QJX786559 QTT786559 RDP786559 RNL786559 RXH786559 SHD786559 SQZ786559 TAV786559 TKR786559 TUN786559 UEJ786559 UOF786559 UYB786559 VHX786559 VRT786559 WBP786559 WLL786559 WVH786559 D852095 IV852095 SR852095 ACN852095 AMJ852095 AWF852095 BGB852095 BPX852095 BZT852095 CJP852095 CTL852095 DDH852095 DND852095 DWZ852095 EGV852095 EQR852095 FAN852095 FKJ852095 FUF852095 GEB852095 GNX852095 GXT852095 HHP852095 HRL852095 IBH852095 ILD852095 IUZ852095 JEV852095 JOR852095 JYN852095 KIJ852095 KSF852095 LCB852095 LLX852095 LVT852095 MFP852095 MPL852095 MZH852095 NJD852095 NSZ852095 OCV852095 OMR852095 OWN852095 PGJ852095 PQF852095 QAB852095 QJX852095 QTT852095 RDP852095 RNL852095 RXH852095 SHD852095 SQZ852095 TAV852095 TKR852095 TUN852095 UEJ852095 UOF852095 UYB852095 VHX852095 VRT852095 WBP852095 WLL852095 WVH852095 D917631 IV917631 SR917631 ACN917631 AMJ917631 AWF917631 BGB917631 BPX917631 BZT917631 CJP917631 CTL917631 DDH917631 DND917631 DWZ917631 EGV917631 EQR917631 FAN917631 FKJ917631 FUF917631 GEB917631 GNX917631 GXT917631 HHP917631 HRL917631 IBH917631 ILD917631 IUZ917631 JEV917631 JOR917631 JYN917631 KIJ917631 KSF917631 LCB917631 LLX917631 LVT917631 MFP917631 MPL917631 MZH917631 NJD917631 NSZ917631 OCV917631 OMR917631 OWN917631 PGJ917631 PQF917631 QAB917631 QJX917631 QTT917631 RDP917631 RNL917631 RXH917631 SHD917631 SQZ917631 TAV917631 TKR917631 TUN917631 UEJ917631 UOF917631 UYB917631 VHX917631 VRT917631 WBP917631 WLL917631 WVH917631 D983167 IV983167 SR983167 ACN983167 AMJ983167 AWF983167 BGB983167 BPX983167 BZT983167 CJP983167 CTL983167 DDH983167 DND983167 DWZ983167 EGV983167 EQR983167 FAN983167 FKJ983167 FUF983167 GEB983167 GNX983167 GXT983167 HHP983167 HRL983167 IBH983167 ILD983167 IUZ983167 JEV983167 JOR983167 JYN983167 KIJ983167 KSF983167 LCB983167 LLX983167 LVT983167 MFP983167 MPL983167 MZH983167 NJD983167 NSZ983167 OCV983167 OMR983167 OWN983167 PGJ983167 PQF983167 QAB983167 QJX983167 QTT983167 RDP983167 RNL983167 RXH983167 SHD983167 SQZ983167 TAV983167 TKR983167 TUN983167 UEJ983167 UOF983167 UYB983167 VHX983167 VRT983167 WBP983167 WLL983167 WVH983167"/>
    <dataValidation type="decimal" operator="lessThanOrEqual" allowBlank="1" showInputMessage="1" showErrorMessage="1" error="No se pueden postular valores superiores a $100.000,00" sqref="E114 IW114 SS114 ACO114 AMK114 AWG114 BGC114 BPY114 BZU114 CJQ114 CTM114 DDI114 DNE114 DXA114 EGW114 EQS114 FAO114 FKK114 FUG114 GEC114 GNY114 GXU114 HHQ114 HRM114 IBI114 ILE114 IVA114 JEW114 JOS114 JYO114 KIK114 KSG114 LCC114 LLY114 LVU114 MFQ114 MPM114 MZI114 NJE114 NTA114 OCW114 OMS114 OWO114 PGK114 PQG114 QAC114 QJY114 QTU114 RDQ114 RNM114 RXI114 SHE114 SRA114 TAW114 TKS114 TUO114 UEK114 UOG114 UYC114 VHY114 VRU114 WBQ114 WLM114 WVI114 E65655 IW65655 SS65655 ACO65655 AMK65655 AWG65655 BGC65655 BPY65655 BZU65655 CJQ65655 CTM65655 DDI65655 DNE65655 DXA65655 EGW65655 EQS65655 FAO65655 FKK65655 FUG65655 GEC65655 GNY65655 GXU65655 HHQ65655 HRM65655 IBI65655 ILE65655 IVA65655 JEW65655 JOS65655 JYO65655 KIK65655 KSG65655 LCC65655 LLY65655 LVU65655 MFQ65655 MPM65655 MZI65655 NJE65655 NTA65655 OCW65655 OMS65655 OWO65655 PGK65655 PQG65655 QAC65655 QJY65655 QTU65655 RDQ65655 RNM65655 RXI65655 SHE65655 SRA65655 TAW65655 TKS65655 TUO65655 UEK65655 UOG65655 UYC65655 VHY65655 VRU65655 WBQ65655 WLM65655 WVI65655 E131191 IW131191 SS131191 ACO131191 AMK131191 AWG131191 BGC131191 BPY131191 BZU131191 CJQ131191 CTM131191 DDI131191 DNE131191 DXA131191 EGW131191 EQS131191 FAO131191 FKK131191 FUG131191 GEC131191 GNY131191 GXU131191 HHQ131191 HRM131191 IBI131191 ILE131191 IVA131191 JEW131191 JOS131191 JYO131191 KIK131191 KSG131191 LCC131191 LLY131191 LVU131191 MFQ131191 MPM131191 MZI131191 NJE131191 NTA131191 OCW131191 OMS131191 OWO131191 PGK131191 PQG131191 QAC131191 QJY131191 QTU131191 RDQ131191 RNM131191 RXI131191 SHE131191 SRA131191 TAW131191 TKS131191 TUO131191 UEK131191 UOG131191 UYC131191 VHY131191 VRU131191 WBQ131191 WLM131191 WVI131191 E196727 IW196727 SS196727 ACO196727 AMK196727 AWG196727 BGC196727 BPY196727 BZU196727 CJQ196727 CTM196727 DDI196727 DNE196727 DXA196727 EGW196727 EQS196727 FAO196727 FKK196727 FUG196727 GEC196727 GNY196727 GXU196727 HHQ196727 HRM196727 IBI196727 ILE196727 IVA196727 JEW196727 JOS196727 JYO196727 KIK196727 KSG196727 LCC196727 LLY196727 LVU196727 MFQ196727 MPM196727 MZI196727 NJE196727 NTA196727 OCW196727 OMS196727 OWO196727 PGK196727 PQG196727 QAC196727 QJY196727 QTU196727 RDQ196727 RNM196727 RXI196727 SHE196727 SRA196727 TAW196727 TKS196727 TUO196727 UEK196727 UOG196727 UYC196727 VHY196727 VRU196727 WBQ196727 WLM196727 WVI196727 E262263 IW262263 SS262263 ACO262263 AMK262263 AWG262263 BGC262263 BPY262263 BZU262263 CJQ262263 CTM262263 DDI262263 DNE262263 DXA262263 EGW262263 EQS262263 FAO262263 FKK262263 FUG262263 GEC262263 GNY262263 GXU262263 HHQ262263 HRM262263 IBI262263 ILE262263 IVA262263 JEW262263 JOS262263 JYO262263 KIK262263 KSG262263 LCC262263 LLY262263 LVU262263 MFQ262263 MPM262263 MZI262263 NJE262263 NTA262263 OCW262263 OMS262263 OWO262263 PGK262263 PQG262263 QAC262263 QJY262263 QTU262263 RDQ262263 RNM262263 RXI262263 SHE262263 SRA262263 TAW262263 TKS262263 TUO262263 UEK262263 UOG262263 UYC262263 VHY262263 VRU262263 WBQ262263 WLM262263 WVI262263 E327799 IW327799 SS327799 ACO327799 AMK327799 AWG327799 BGC327799 BPY327799 BZU327799 CJQ327799 CTM327799 DDI327799 DNE327799 DXA327799 EGW327799 EQS327799 FAO327799 FKK327799 FUG327799 GEC327799 GNY327799 GXU327799 HHQ327799 HRM327799 IBI327799 ILE327799 IVA327799 JEW327799 JOS327799 JYO327799 KIK327799 KSG327799 LCC327799 LLY327799 LVU327799 MFQ327799 MPM327799 MZI327799 NJE327799 NTA327799 OCW327799 OMS327799 OWO327799 PGK327799 PQG327799 QAC327799 QJY327799 QTU327799 RDQ327799 RNM327799 RXI327799 SHE327799 SRA327799 TAW327799 TKS327799 TUO327799 UEK327799 UOG327799 UYC327799 VHY327799 VRU327799 WBQ327799 WLM327799 WVI327799 E393335 IW393335 SS393335 ACO393335 AMK393335 AWG393335 BGC393335 BPY393335 BZU393335 CJQ393335 CTM393335 DDI393335 DNE393335 DXA393335 EGW393335 EQS393335 FAO393335 FKK393335 FUG393335 GEC393335 GNY393335 GXU393335 HHQ393335 HRM393335 IBI393335 ILE393335 IVA393335 JEW393335 JOS393335 JYO393335 KIK393335 KSG393335 LCC393335 LLY393335 LVU393335 MFQ393335 MPM393335 MZI393335 NJE393335 NTA393335 OCW393335 OMS393335 OWO393335 PGK393335 PQG393335 QAC393335 QJY393335 QTU393335 RDQ393335 RNM393335 RXI393335 SHE393335 SRA393335 TAW393335 TKS393335 TUO393335 UEK393335 UOG393335 UYC393335 VHY393335 VRU393335 WBQ393335 WLM393335 WVI393335 E458871 IW458871 SS458871 ACO458871 AMK458871 AWG458871 BGC458871 BPY458871 BZU458871 CJQ458871 CTM458871 DDI458871 DNE458871 DXA458871 EGW458871 EQS458871 FAO458871 FKK458871 FUG458871 GEC458871 GNY458871 GXU458871 HHQ458871 HRM458871 IBI458871 ILE458871 IVA458871 JEW458871 JOS458871 JYO458871 KIK458871 KSG458871 LCC458871 LLY458871 LVU458871 MFQ458871 MPM458871 MZI458871 NJE458871 NTA458871 OCW458871 OMS458871 OWO458871 PGK458871 PQG458871 QAC458871 QJY458871 QTU458871 RDQ458871 RNM458871 RXI458871 SHE458871 SRA458871 TAW458871 TKS458871 TUO458871 UEK458871 UOG458871 UYC458871 VHY458871 VRU458871 WBQ458871 WLM458871 WVI458871 E524407 IW524407 SS524407 ACO524407 AMK524407 AWG524407 BGC524407 BPY524407 BZU524407 CJQ524407 CTM524407 DDI524407 DNE524407 DXA524407 EGW524407 EQS524407 FAO524407 FKK524407 FUG524407 GEC524407 GNY524407 GXU524407 HHQ524407 HRM524407 IBI524407 ILE524407 IVA524407 JEW524407 JOS524407 JYO524407 KIK524407 KSG524407 LCC524407 LLY524407 LVU524407 MFQ524407 MPM524407 MZI524407 NJE524407 NTA524407 OCW524407 OMS524407 OWO524407 PGK524407 PQG524407 QAC524407 QJY524407 QTU524407 RDQ524407 RNM524407 RXI524407 SHE524407 SRA524407 TAW524407 TKS524407 TUO524407 UEK524407 UOG524407 UYC524407 VHY524407 VRU524407 WBQ524407 WLM524407 WVI524407 E589943 IW589943 SS589943 ACO589943 AMK589943 AWG589943 BGC589943 BPY589943 BZU589943 CJQ589943 CTM589943 DDI589943 DNE589943 DXA589943 EGW589943 EQS589943 FAO589943 FKK589943 FUG589943 GEC589943 GNY589943 GXU589943 HHQ589943 HRM589943 IBI589943 ILE589943 IVA589943 JEW589943 JOS589943 JYO589943 KIK589943 KSG589943 LCC589943 LLY589943 LVU589943 MFQ589943 MPM589943 MZI589943 NJE589943 NTA589943 OCW589943 OMS589943 OWO589943 PGK589943 PQG589943 QAC589943 QJY589943 QTU589943 RDQ589943 RNM589943 RXI589943 SHE589943 SRA589943 TAW589943 TKS589943 TUO589943 UEK589943 UOG589943 UYC589943 VHY589943 VRU589943 WBQ589943 WLM589943 WVI589943 E655479 IW655479 SS655479 ACO655479 AMK655479 AWG655479 BGC655479 BPY655479 BZU655479 CJQ655479 CTM655479 DDI655479 DNE655479 DXA655479 EGW655479 EQS655479 FAO655479 FKK655479 FUG655479 GEC655479 GNY655479 GXU655479 HHQ655479 HRM655479 IBI655479 ILE655479 IVA655479 JEW655479 JOS655479 JYO655479 KIK655479 KSG655479 LCC655479 LLY655479 LVU655479 MFQ655479 MPM655479 MZI655479 NJE655479 NTA655479 OCW655479 OMS655479 OWO655479 PGK655479 PQG655479 QAC655479 QJY655479 QTU655479 RDQ655479 RNM655479 RXI655479 SHE655479 SRA655479 TAW655479 TKS655479 TUO655479 UEK655479 UOG655479 UYC655479 VHY655479 VRU655479 WBQ655479 WLM655479 WVI655479 E721015 IW721015 SS721015 ACO721015 AMK721015 AWG721015 BGC721015 BPY721015 BZU721015 CJQ721015 CTM721015 DDI721015 DNE721015 DXA721015 EGW721015 EQS721015 FAO721015 FKK721015 FUG721015 GEC721015 GNY721015 GXU721015 HHQ721015 HRM721015 IBI721015 ILE721015 IVA721015 JEW721015 JOS721015 JYO721015 KIK721015 KSG721015 LCC721015 LLY721015 LVU721015 MFQ721015 MPM721015 MZI721015 NJE721015 NTA721015 OCW721015 OMS721015 OWO721015 PGK721015 PQG721015 QAC721015 QJY721015 QTU721015 RDQ721015 RNM721015 RXI721015 SHE721015 SRA721015 TAW721015 TKS721015 TUO721015 UEK721015 UOG721015 UYC721015 VHY721015 VRU721015 WBQ721015 WLM721015 WVI721015 E786551 IW786551 SS786551 ACO786551 AMK786551 AWG786551 BGC786551 BPY786551 BZU786551 CJQ786551 CTM786551 DDI786551 DNE786551 DXA786551 EGW786551 EQS786551 FAO786551 FKK786551 FUG786551 GEC786551 GNY786551 GXU786551 HHQ786551 HRM786551 IBI786551 ILE786551 IVA786551 JEW786551 JOS786551 JYO786551 KIK786551 KSG786551 LCC786551 LLY786551 LVU786551 MFQ786551 MPM786551 MZI786551 NJE786551 NTA786551 OCW786551 OMS786551 OWO786551 PGK786551 PQG786551 QAC786551 QJY786551 QTU786551 RDQ786551 RNM786551 RXI786551 SHE786551 SRA786551 TAW786551 TKS786551 TUO786551 UEK786551 UOG786551 UYC786551 VHY786551 VRU786551 WBQ786551 WLM786551 WVI786551 E852087 IW852087 SS852087 ACO852087 AMK852087 AWG852087 BGC852087 BPY852087 BZU852087 CJQ852087 CTM852087 DDI852087 DNE852087 DXA852087 EGW852087 EQS852087 FAO852087 FKK852087 FUG852087 GEC852087 GNY852087 GXU852087 HHQ852087 HRM852087 IBI852087 ILE852087 IVA852087 JEW852087 JOS852087 JYO852087 KIK852087 KSG852087 LCC852087 LLY852087 LVU852087 MFQ852087 MPM852087 MZI852087 NJE852087 NTA852087 OCW852087 OMS852087 OWO852087 PGK852087 PQG852087 QAC852087 QJY852087 QTU852087 RDQ852087 RNM852087 RXI852087 SHE852087 SRA852087 TAW852087 TKS852087 TUO852087 UEK852087 UOG852087 UYC852087 VHY852087 VRU852087 WBQ852087 WLM852087 WVI852087 E917623 IW917623 SS917623 ACO917623 AMK917623 AWG917623 BGC917623 BPY917623 BZU917623 CJQ917623 CTM917623 DDI917623 DNE917623 DXA917623 EGW917623 EQS917623 FAO917623 FKK917623 FUG917623 GEC917623 GNY917623 GXU917623 HHQ917623 HRM917623 IBI917623 ILE917623 IVA917623 JEW917623 JOS917623 JYO917623 KIK917623 KSG917623 LCC917623 LLY917623 LVU917623 MFQ917623 MPM917623 MZI917623 NJE917623 NTA917623 OCW917623 OMS917623 OWO917623 PGK917623 PQG917623 QAC917623 QJY917623 QTU917623 RDQ917623 RNM917623 RXI917623 SHE917623 SRA917623 TAW917623 TKS917623 TUO917623 UEK917623 UOG917623 UYC917623 VHY917623 VRU917623 WBQ917623 WLM917623 WVI917623 E983159 IW983159 SS983159 ACO983159 AMK983159 AWG983159 BGC983159 BPY983159 BZU983159 CJQ983159 CTM983159 DDI983159 DNE983159 DXA983159 EGW983159 EQS983159 FAO983159 FKK983159 FUG983159 GEC983159 GNY983159 GXU983159 HHQ983159 HRM983159 IBI983159 ILE983159 IVA983159 JEW983159 JOS983159 JYO983159 KIK983159 KSG983159 LCC983159 LLY983159 LVU983159 MFQ983159 MPM983159 MZI983159 NJE983159 NTA983159 OCW983159 OMS983159 OWO983159 PGK983159 PQG983159 QAC983159 QJY983159 QTU983159 RDQ983159 RNM983159 RXI983159 SHE983159 SRA983159 TAW983159 TKS983159 TUO983159 UEK983159 UOG983159 UYC983159 VHY983159 VRU983159 WBQ983159 WLM983159 WVI983159">
      <formula1>100000</formula1>
    </dataValidation>
    <dataValidation type="decimal" operator="greaterThan" allowBlank="1" showInputMessage="1" showErrorMessage="1" sqref="WVH983178 IV134 SR134 ACN134 AMJ134 AWF134 BGB134 BPX134 BZT134 CJP134 CTL134 DDH134 DND134 DWZ134 EGV134 EQR134 FAN134 FKJ134 FUF134 GEB134 GNX134 GXT134 HHP134 HRL134 IBH134 ILD134 IUZ134 JEV134 JOR134 JYN134 KIJ134 KSF134 LCB134 LLX134 LVT134 MFP134 MPL134 MZH134 NJD134 NSZ134 OCV134 OMR134 OWN134 PGJ134 PQF134 QAB134 QJX134 QTT134 RDP134 RNL134 RXH134 SHD134 SQZ134 TAV134 TKR134 TUN134 UEJ134 UOF134 UYB134 VHX134 VRT134 WBP134 WLL134 WVH134 D65674 IV65674 SR65674 ACN65674 AMJ65674 AWF65674 BGB65674 BPX65674 BZT65674 CJP65674 CTL65674 DDH65674 DND65674 DWZ65674 EGV65674 EQR65674 FAN65674 FKJ65674 FUF65674 GEB65674 GNX65674 GXT65674 HHP65674 HRL65674 IBH65674 ILD65674 IUZ65674 JEV65674 JOR65674 JYN65674 KIJ65674 KSF65674 LCB65674 LLX65674 LVT65674 MFP65674 MPL65674 MZH65674 NJD65674 NSZ65674 OCV65674 OMR65674 OWN65674 PGJ65674 PQF65674 QAB65674 QJX65674 QTT65674 RDP65674 RNL65674 RXH65674 SHD65674 SQZ65674 TAV65674 TKR65674 TUN65674 UEJ65674 UOF65674 UYB65674 VHX65674 VRT65674 WBP65674 WLL65674 WVH65674 D131210 IV131210 SR131210 ACN131210 AMJ131210 AWF131210 BGB131210 BPX131210 BZT131210 CJP131210 CTL131210 DDH131210 DND131210 DWZ131210 EGV131210 EQR131210 FAN131210 FKJ131210 FUF131210 GEB131210 GNX131210 GXT131210 HHP131210 HRL131210 IBH131210 ILD131210 IUZ131210 JEV131210 JOR131210 JYN131210 KIJ131210 KSF131210 LCB131210 LLX131210 LVT131210 MFP131210 MPL131210 MZH131210 NJD131210 NSZ131210 OCV131210 OMR131210 OWN131210 PGJ131210 PQF131210 QAB131210 QJX131210 QTT131210 RDP131210 RNL131210 RXH131210 SHD131210 SQZ131210 TAV131210 TKR131210 TUN131210 UEJ131210 UOF131210 UYB131210 VHX131210 VRT131210 WBP131210 WLL131210 WVH131210 D196746 IV196746 SR196746 ACN196746 AMJ196746 AWF196746 BGB196746 BPX196746 BZT196746 CJP196746 CTL196746 DDH196746 DND196746 DWZ196746 EGV196746 EQR196746 FAN196746 FKJ196746 FUF196746 GEB196746 GNX196746 GXT196746 HHP196746 HRL196746 IBH196746 ILD196746 IUZ196746 JEV196746 JOR196746 JYN196746 KIJ196746 KSF196746 LCB196746 LLX196746 LVT196746 MFP196746 MPL196746 MZH196746 NJD196746 NSZ196746 OCV196746 OMR196746 OWN196746 PGJ196746 PQF196746 QAB196746 QJX196746 QTT196746 RDP196746 RNL196746 RXH196746 SHD196746 SQZ196746 TAV196746 TKR196746 TUN196746 UEJ196746 UOF196746 UYB196746 VHX196746 VRT196746 WBP196746 WLL196746 WVH196746 D262282 IV262282 SR262282 ACN262282 AMJ262282 AWF262282 BGB262282 BPX262282 BZT262282 CJP262282 CTL262282 DDH262282 DND262282 DWZ262282 EGV262282 EQR262282 FAN262282 FKJ262282 FUF262282 GEB262282 GNX262282 GXT262282 HHP262282 HRL262282 IBH262282 ILD262282 IUZ262282 JEV262282 JOR262282 JYN262282 KIJ262282 KSF262282 LCB262282 LLX262282 LVT262282 MFP262282 MPL262282 MZH262282 NJD262282 NSZ262282 OCV262282 OMR262282 OWN262282 PGJ262282 PQF262282 QAB262282 QJX262282 QTT262282 RDP262282 RNL262282 RXH262282 SHD262282 SQZ262282 TAV262282 TKR262282 TUN262282 UEJ262282 UOF262282 UYB262282 VHX262282 VRT262282 WBP262282 WLL262282 WVH262282 D327818 IV327818 SR327818 ACN327818 AMJ327818 AWF327818 BGB327818 BPX327818 BZT327818 CJP327818 CTL327818 DDH327818 DND327818 DWZ327818 EGV327818 EQR327818 FAN327818 FKJ327818 FUF327818 GEB327818 GNX327818 GXT327818 HHP327818 HRL327818 IBH327818 ILD327818 IUZ327818 JEV327818 JOR327818 JYN327818 KIJ327818 KSF327818 LCB327818 LLX327818 LVT327818 MFP327818 MPL327818 MZH327818 NJD327818 NSZ327818 OCV327818 OMR327818 OWN327818 PGJ327818 PQF327818 QAB327818 QJX327818 QTT327818 RDP327818 RNL327818 RXH327818 SHD327818 SQZ327818 TAV327818 TKR327818 TUN327818 UEJ327818 UOF327818 UYB327818 VHX327818 VRT327818 WBP327818 WLL327818 WVH327818 D393354 IV393354 SR393354 ACN393354 AMJ393354 AWF393354 BGB393354 BPX393354 BZT393354 CJP393354 CTL393354 DDH393354 DND393354 DWZ393354 EGV393354 EQR393354 FAN393354 FKJ393354 FUF393354 GEB393354 GNX393354 GXT393354 HHP393354 HRL393354 IBH393354 ILD393354 IUZ393354 JEV393354 JOR393354 JYN393354 KIJ393354 KSF393354 LCB393354 LLX393354 LVT393354 MFP393354 MPL393354 MZH393354 NJD393354 NSZ393354 OCV393354 OMR393354 OWN393354 PGJ393354 PQF393354 QAB393354 QJX393354 QTT393354 RDP393354 RNL393354 RXH393354 SHD393354 SQZ393354 TAV393354 TKR393354 TUN393354 UEJ393354 UOF393354 UYB393354 VHX393354 VRT393354 WBP393354 WLL393354 WVH393354 D458890 IV458890 SR458890 ACN458890 AMJ458890 AWF458890 BGB458890 BPX458890 BZT458890 CJP458890 CTL458890 DDH458890 DND458890 DWZ458890 EGV458890 EQR458890 FAN458890 FKJ458890 FUF458890 GEB458890 GNX458890 GXT458890 HHP458890 HRL458890 IBH458890 ILD458890 IUZ458890 JEV458890 JOR458890 JYN458890 KIJ458890 KSF458890 LCB458890 LLX458890 LVT458890 MFP458890 MPL458890 MZH458890 NJD458890 NSZ458890 OCV458890 OMR458890 OWN458890 PGJ458890 PQF458890 QAB458890 QJX458890 QTT458890 RDP458890 RNL458890 RXH458890 SHD458890 SQZ458890 TAV458890 TKR458890 TUN458890 UEJ458890 UOF458890 UYB458890 VHX458890 VRT458890 WBP458890 WLL458890 WVH458890 D524426 IV524426 SR524426 ACN524426 AMJ524426 AWF524426 BGB524426 BPX524426 BZT524426 CJP524426 CTL524426 DDH524426 DND524426 DWZ524426 EGV524426 EQR524426 FAN524426 FKJ524426 FUF524426 GEB524426 GNX524426 GXT524426 HHP524426 HRL524426 IBH524426 ILD524426 IUZ524426 JEV524426 JOR524426 JYN524426 KIJ524426 KSF524426 LCB524426 LLX524426 LVT524426 MFP524426 MPL524426 MZH524426 NJD524426 NSZ524426 OCV524426 OMR524426 OWN524426 PGJ524426 PQF524426 QAB524426 QJX524426 QTT524426 RDP524426 RNL524426 RXH524426 SHD524426 SQZ524426 TAV524426 TKR524426 TUN524426 UEJ524426 UOF524426 UYB524426 VHX524426 VRT524426 WBP524426 WLL524426 WVH524426 D589962 IV589962 SR589962 ACN589962 AMJ589962 AWF589962 BGB589962 BPX589962 BZT589962 CJP589962 CTL589962 DDH589962 DND589962 DWZ589962 EGV589962 EQR589962 FAN589962 FKJ589962 FUF589962 GEB589962 GNX589962 GXT589962 HHP589962 HRL589962 IBH589962 ILD589962 IUZ589962 JEV589962 JOR589962 JYN589962 KIJ589962 KSF589962 LCB589962 LLX589962 LVT589962 MFP589962 MPL589962 MZH589962 NJD589962 NSZ589962 OCV589962 OMR589962 OWN589962 PGJ589962 PQF589962 QAB589962 QJX589962 QTT589962 RDP589962 RNL589962 RXH589962 SHD589962 SQZ589962 TAV589962 TKR589962 TUN589962 UEJ589962 UOF589962 UYB589962 VHX589962 VRT589962 WBP589962 WLL589962 WVH589962 D655498 IV655498 SR655498 ACN655498 AMJ655498 AWF655498 BGB655498 BPX655498 BZT655498 CJP655498 CTL655498 DDH655498 DND655498 DWZ655498 EGV655498 EQR655498 FAN655498 FKJ655498 FUF655498 GEB655498 GNX655498 GXT655498 HHP655498 HRL655498 IBH655498 ILD655498 IUZ655498 JEV655498 JOR655498 JYN655498 KIJ655498 KSF655498 LCB655498 LLX655498 LVT655498 MFP655498 MPL655498 MZH655498 NJD655498 NSZ655498 OCV655498 OMR655498 OWN655498 PGJ655498 PQF655498 QAB655498 QJX655498 QTT655498 RDP655498 RNL655498 RXH655498 SHD655498 SQZ655498 TAV655498 TKR655498 TUN655498 UEJ655498 UOF655498 UYB655498 VHX655498 VRT655498 WBP655498 WLL655498 WVH655498 D721034 IV721034 SR721034 ACN721034 AMJ721034 AWF721034 BGB721034 BPX721034 BZT721034 CJP721034 CTL721034 DDH721034 DND721034 DWZ721034 EGV721034 EQR721034 FAN721034 FKJ721034 FUF721034 GEB721034 GNX721034 GXT721034 HHP721034 HRL721034 IBH721034 ILD721034 IUZ721034 JEV721034 JOR721034 JYN721034 KIJ721034 KSF721034 LCB721034 LLX721034 LVT721034 MFP721034 MPL721034 MZH721034 NJD721034 NSZ721034 OCV721034 OMR721034 OWN721034 PGJ721034 PQF721034 QAB721034 QJX721034 QTT721034 RDP721034 RNL721034 RXH721034 SHD721034 SQZ721034 TAV721034 TKR721034 TUN721034 UEJ721034 UOF721034 UYB721034 VHX721034 VRT721034 WBP721034 WLL721034 WVH721034 D786570 IV786570 SR786570 ACN786570 AMJ786570 AWF786570 BGB786570 BPX786570 BZT786570 CJP786570 CTL786570 DDH786570 DND786570 DWZ786570 EGV786570 EQR786570 FAN786570 FKJ786570 FUF786570 GEB786570 GNX786570 GXT786570 HHP786570 HRL786570 IBH786570 ILD786570 IUZ786570 JEV786570 JOR786570 JYN786570 KIJ786570 KSF786570 LCB786570 LLX786570 LVT786570 MFP786570 MPL786570 MZH786570 NJD786570 NSZ786570 OCV786570 OMR786570 OWN786570 PGJ786570 PQF786570 QAB786570 QJX786570 QTT786570 RDP786570 RNL786570 RXH786570 SHD786570 SQZ786570 TAV786570 TKR786570 TUN786570 UEJ786570 UOF786570 UYB786570 VHX786570 VRT786570 WBP786570 WLL786570 WVH786570 D852106 IV852106 SR852106 ACN852106 AMJ852106 AWF852106 BGB852106 BPX852106 BZT852106 CJP852106 CTL852106 DDH852106 DND852106 DWZ852106 EGV852106 EQR852106 FAN852106 FKJ852106 FUF852106 GEB852106 GNX852106 GXT852106 HHP852106 HRL852106 IBH852106 ILD852106 IUZ852106 JEV852106 JOR852106 JYN852106 KIJ852106 KSF852106 LCB852106 LLX852106 LVT852106 MFP852106 MPL852106 MZH852106 NJD852106 NSZ852106 OCV852106 OMR852106 OWN852106 PGJ852106 PQF852106 QAB852106 QJX852106 QTT852106 RDP852106 RNL852106 RXH852106 SHD852106 SQZ852106 TAV852106 TKR852106 TUN852106 UEJ852106 UOF852106 UYB852106 VHX852106 VRT852106 WBP852106 WLL852106 WVH852106 D917642 IV917642 SR917642 ACN917642 AMJ917642 AWF917642 BGB917642 BPX917642 BZT917642 CJP917642 CTL917642 DDH917642 DND917642 DWZ917642 EGV917642 EQR917642 FAN917642 FKJ917642 FUF917642 GEB917642 GNX917642 GXT917642 HHP917642 HRL917642 IBH917642 ILD917642 IUZ917642 JEV917642 JOR917642 JYN917642 KIJ917642 KSF917642 LCB917642 LLX917642 LVT917642 MFP917642 MPL917642 MZH917642 NJD917642 NSZ917642 OCV917642 OMR917642 OWN917642 PGJ917642 PQF917642 QAB917642 QJX917642 QTT917642 RDP917642 RNL917642 RXH917642 SHD917642 SQZ917642 TAV917642 TKR917642 TUN917642 UEJ917642 UOF917642 UYB917642 VHX917642 VRT917642 WBP917642 WLL917642 WVH917642 D983178 IV983178 SR983178 ACN983178 AMJ983178 AWF983178 BGB983178 BPX983178 BZT983178 CJP983178 CTL983178 DDH983178 DND983178 DWZ983178 EGV983178 EQR983178 FAN983178 FKJ983178 FUF983178 GEB983178 GNX983178 GXT983178 HHP983178 HRL983178 IBH983178 ILD983178 IUZ983178 JEV983178 JOR983178 JYN983178 KIJ983178 KSF983178 LCB983178 LLX983178 LVT983178 MFP983178 MPL983178 MZH983178 NJD983178 NSZ983178 OCV983178 OMR983178 OWN983178 PGJ983178 PQF983178 QAB983178 QJX983178 QTT983178 RDP983178 RNL983178 RXH983178 SHD983178 SQZ983178 TAV983178 TKR983178 TUN983178 UEJ983178 UOF983178 UYB983178 VHX983178 VRT983178 WBP983178 WLL983178">
      <formula1>250000.01</formula1>
    </dataValidation>
    <dataValidation allowBlank="1" showInputMessage="1" showErrorMessage="1" errorTitle="ERROR" error="NO SE PUEDE APLICAR A MONTOS SUPERIORES A 125000" sqref="D114 IV114 SR114 ACN114 AMJ114 AWF114 BGB114 BPX114 BZT114 CJP114 CTL114 DDH114 DND114 DWZ114 EGV114 EQR114 FAN114 FKJ114 FUF114 GEB114 GNX114 GXT114 HHP114 HRL114 IBH114 ILD114 IUZ114 JEV114 JOR114 JYN114 KIJ114 KSF114 LCB114 LLX114 LVT114 MFP114 MPL114 MZH114 NJD114 NSZ114 OCV114 OMR114 OWN114 PGJ114 PQF114 QAB114 QJX114 QTT114 RDP114 RNL114 RXH114 SHD114 SQZ114 TAV114 TKR114 TUN114 UEJ114 UOF114 UYB114 VHX114 VRT114 WBP114 WLL114 WVH114 D65655 IV65655 SR65655 ACN65655 AMJ65655 AWF65655 BGB65655 BPX65655 BZT65655 CJP65655 CTL65655 DDH65655 DND65655 DWZ65655 EGV65655 EQR65655 FAN65655 FKJ65655 FUF65655 GEB65655 GNX65655 GXT65655 HHP65655 HRL65655 IBH65655 ILD65655 IUZ65655 JEV65655 JOR65655 JYN65655 KIJ65655 KSF65655 LCB65655 LLX65655 LVT65655 MFP65655 MPL65655 MZH65655 NJD65655 NSZ65655 OCV65655 OMR65655 OWN65655 PGJ65655 PQF65655 QAB65655 QJX65655 QTT65655 RDP65655 RNL65655 RXH65655 SHD65655 SQZ65655 TAV65655 TKR65655 TUN65655 UEJ65655 UOF65655 UYB65655 VHX65655 VRT65655 WBP65655 WLL65655 WVH65655 D131191 IV131191 SR131191 ACN131191 AMJ131191 AWF131191 BGB131191 BPX131191 BZT131191 CJP131191 CTL131191 DDH131191 DND131191 DWZ131191 EGV131191 EQR131191 FAN131191 FKJ131191 FUF131191 GEB131191 GNX131191 GXT131191 HHP131191 HRL131191 IBH131191 ILD131191 IUZ131191 JEV131191 JOR131191 JYN131191 KIJ131191 KSF131191 LCB131191 LLX131191 LVT131191 MFP131191 MPL131191 MZH131191 NJD131191 NSZ131191 OCV131191 OMR131191 OWN131191 PGJ131191 PQF131191 QAB131191 QJX131191 QTT131191 RDP131191 RNL131191 RXH131191 SHD131191 SQZ131191 TAV131191 TKR131191 TUN131191 UEJ131191 UOF131191 UYB131191 VHX131191 VRT131191 WBP131191 WLL131191 WVH131191 D196727 IV196727 SR196727 ACN196727 AMJ196727 AWF196727 BGB196727 BPX196727 BZT196727 CJP196727 CTL196727 DDH196727 DND196727 DWZ196727 EGV196727 EQR196727 FAN196727 FKJ196727 FUF196727 GEB196727 GNX196727 GXT196727 HHP196727 HRL196727 IBH196727 ILD196727 IUZ196727 JEV196727 JOR196727 JYN196727 KIJ196727 KSF196727 LCB196727 LLX196727 LVT196727 MFP196727 MPL196727 MZH196727 NJD196727 NSZ196727 OCV196727 OMR196727 OWN196727 PGJ196727 PQF196727 QAB196727 QJX196727 QTT196727 RDP196727 RNL196727 RXH196727 SHD196727 SQZ196727 TAV196727 TKR196727 TUN196727 UEJ196727 UOF196727 UYB196727 VHX196727 VRT196727 WBP196727 WLL196727 WVH196727 D262263 IV262263 SR262263 ACN262263 AMJ262263 AWF262263 BGB262263 BPX262263 BZT262263 CJP262263 CTL262263 DDH262263 DND262263 DWZ262263 EGV262263 EQR262263 FAN262263 FKJ262263 FUF262263 GEB262263 GNX262263 GXT262263 HHP262263 HRL262263 IBH262263 ILD262263 IUZ262263 JEV262263 JOR262263 JYN262263 KIJ262263 KSF262263 LCB262263 LLX262263 LVT262263 MFP262263 MPL262263 MZH262263 NJD262263 NSZ262263 OCV262263 OMR262263 OWN262263 PGJ262263 PQF262263 QAB262263 QJX262263 QTT262263 RDP262263 RNL262263 RXH262263 SHD262263 SQZ262263 TAV262263 TKR262263 TUN262263 UEJ262263 UOF262263 UYB262263 VHX262263 VRT262263 WBP262263 WLL262263 WVH262263 D327799 IV327799 SR327799 ACN327799 AMJ327799 AWF327799 BGB327799 BPX327799 BZT327799 CJP327799 CTL327799 DDH327799 DND327799 DWZ327799 EGV327799 EQR327799 FAN327799 FKJ327799 FUF327799 GEB327799 GNX327799 GXT327799 HHP327799 HRL327799 IBH327799 ILD327799 IUZ327799 JEV327799 JOR327799 JYN327799 KIJ327799 KSF327799 LCB327799 LLX327799 LVT327799 MFP327799 MPL327799 MZH327799 NJD327799 NSZ327799 OCV327799 OMR327799 OWN327799 PGJ327799 PQF327799 QAB327799 QJX327799 QTT327799 RDP327799 RNL327799 RXH327799 SHD327799 SQZ327799 TAV327799 TKR327799 TUN327799 UEJ327799 UOF327799 UYB327799 VHX327799 VRT327799 WBP327799 WLL327799 WVH327799 D393335 IV393335 SR393335 ACN393335 AMJ393335 AWF393335 BGB393335 BPX393335 BZT393335 CJP393335 CTL393335 DDH393335 DND393335 DWZ393335 EGV393335 EQR393335 FAN393335 FKJ393335 FUF393335 GEB393335 GNX393335 GXT393335 HHP393335 HRL393335 IBH393335 ILD393335 IUZ393335 JEV393335 JOR393335 JYN393335 KIJ393335 KSF393335 LCB393335 LLX393335 LVT393335 MFP393335 MPL393335 MZH393335 NJD393335 NSZ393335 OCV393335 OMR393335 OWN393335 PGJ393335 PQF393335 QAB393335 QJX393335 QTT393335 RDP393335 RNL393335 RXH393335 SHD393335 SQZ393335 TAV393335 TKR393335 TUN393335 UEJ393335 UOF393335 UYB393335 VHX393335 VRT393335 WBP393335 WLL393335 WVH393335 D458871 IV458871 SR458871 ACN458871 AMJ458871 AWF458871 BGB458871 BPX458871 BZT458871 CJP458871 CTL458871 DDH458871 DND458871 DWZ458871 EGV458871 EQR458871 FAN458871 FKJ458871 FUF458871 GEB458871 GNX458871 GXT458871 HHP458871 HRL458871 IBH458871 ILD458871 IUZ458871 JEV458871 JOR458871 JYN458871 KIJ458871 KSF458871 LCB458871 LLX458871 LVT458871 MFP458871 MPL458871 MZH458871 NJD458871 NSZ458871 OCV458871 OMR458871 OWN458871 PGJ458871 PQF458871 QAB458871 QJX458871 QTT458871 RDP458871 RNL458871 RXH458871 SHD458871 SQZ458871 TAV458871 TKR458871 TUN458871 UEJ458871 UOF458871 UYB458871 VHX458871 VRT458871 WBP458871 WLL458871 WVH458871 D524407 IV524407 SR524407 ACN524407 AMJ524407 AWF524407 BGB524407 BPX524407 BZT524407 CJP524407 CTL524407 DDH524407 DND524407 DWZ524407 EGV524407 EQR524407 FAN524407 FKJ524407 FUF524407 GEB524407 GNX524407 GXT524407 HHP524407 HRL524407 IBH524407 ILD524407 IUZ524407 JEV524407 JOR524407 JYN524407 KIJ524407 KSF524407 LCB524407 LLX524407 LVT524407 MFP524407 MPL524407 MZH524407 NJD524407 NSZ524407 OCV524407 OMR524407 OWN524407 PGJ524407 PQF524407 QAB524407 QJX524407 QTT524407 RDP524407 RNL524407 RXH524407 SHD524407 SQZ524407 TAV524407 TKR524407 TUN524407 UEJ524407 UOF524407 UYB524407 VHX524407 VRT524407 WBP524407 WLL524407 WVH524407 D589943 IV589943 SR589943 ACN589943 AMJ589943 AWF589943 BGB589943 BPX589943 BZT589943 CJP589943 CTL589943 DDH589943 DND589943 DWZ589943 EGV589943 EQR589943 FAN589943 FKJ589943 FUF589943 GEB589943 GNX589943 GXT589943 HHP589943 HRL589943 IBH589943 ILD589943 IUZ589943 JEV589943 JOR589943 JYN589943 KIJ589943 KSF589943 LCB589943 LLX589943 LVT589943 MFP589943 MPL589943 MZH589943 NJD589943 NSZ589943 OCV589943 OMR589943 OWN589943 PGJ589943 PQF589943 QAB589943 QJX589943 QTT589943 RDP589943 RNL589943 RXH589943 SHD589943 SQZ589943 TAV589943 TKR589943 TUN589943 UEJ589943 UOF589943 UYB589943 VHX589943 VRT589943 WBP589943 WLL589943 WVH589943 D655479 IV655479 SR655479 ACN655479 AMJ655479 AWF655479 BGB655479 BPX655479 BZT655479 CJP655479 CTL655479 DDH655479 DND655479 DWZ655479 EGV655479 EQR655479 FAN655479 FKJ655479 FUF655479 GEB655479 GNX655479 GXT655479 HHP655479 HRL655479 IBH655479 ILD655479 IUZ655479 JEV655479 JOR655479 JYN655479 KIJ655479 KSF655479 LCB655479 LLX655479 LVT655479 MFP655479 MPL655479 MZH655479 NJD655479 NSZ655479 OCV655479 OMR655479 OWN655479 PGJ655479 PQF655479 QAB655479 QJX655479 QTT655479 RDP655479 RNL655479 RXH655479 SHD655479 SQZ655479 TAV655479 TKR655479 TUN655479 UEJ655479 UOF655479 UYB655479 VHX655479 VRT655479 WBP655479 WLL655479 WVH655479 D721015 IV721015 SR721015 ACN721015 AMJ721015 AWF721015 BGB721015 BPX721015 BZT721015 CJP721015 CTL721015 DDH721015 DND721015 DWZ721015 EGV721015 EQR721015 FAN721015 FKJ721015 FUF721015 GEB721015 GNX721015 GXT721015 HHP721015 HRL721015 IBH721015 ILD721015 IUZ721015 JEV721015 JOR721015 JYN721015 KIJ721015 KSF721015 LCB721015 LLX721015 LVT721015 MFP721015 MPL721015 MZH721015 NJD721015 NSZ721015 OCV721015 OMR721015 OWN721015 PGJ721015 PQF721015 QAB721015 QJX721015 QTT721015 RDP721015 RNL721015 RXH721015 SHD721015 SQZ721015 TAV721015 TKR721015 TUN721015 UEJ721015 UOF721015 UYB721015 VHX721015 VRT721015 WBP721015 WLL721015 WVH721015 D786551 IV786551 SR786551 ACN786551 AMJ786551 AWF786551 BGB786551 BPX786551 BZT786551 CJP786551 CTL786551 DDH786551 DND786551 DWZ786551 EGV786551 EQR786551 FAN786551 FKJ786551 FUF786551 GEB786551 GNX786551 GXT786551 HHP786551 HRL786551 IBH786551 ILD786551 IUZ786551 JEV786551 JOR786551 JYN786551 KIJ786551 KSF786551 LCB786551 LLX786551 LVT786551 MFP786551 MPL786551 MZH786551 NJD786551 NSZ786551 OCV786551 OMR786551 OWN786551 PGJ786551 PQF786551 QAB786551 QJX786551 QTT786551 RDP786551 RNL786551 RXH786551 SHD786551 SQZ786551 TAV786551 TKR786551 TUN786551 UEJ786551 UOF786551 UYB786551 VHX786551 VRT786551 WBP786551 WLL786551 WVH786551 D852087 IV852087 SR852087 ACN852087 AMJ852087 AWF852087 BGB852087 BPX852087 BZT852087 CJP852087 CTL852087 DDH852087 DND852087 DWZ852087 EGV852087 EQR852087 FAN852087 FKJ852087 FUF852087 GEB852087 GNX852087 GXT852087 HHP852087 HRL852087 IBH852087 ILD852087 IUZ852087 JEV852087 JOR852087 JYN852087 KIJ852087 KSF852087 LCB852087 LLX852087 LVT852087 MFP852087 MPL852087 MZH852087 NJD852087 NSZ852087 OCV852087 OMR852087 OWN852087 PGJ852087 PQF852087 QAB852087 QJX852087 QTT852087 RDP852087 RNL852087 RXH852087 SHD852087 SQZ852087 TAV852087 TKR852087 TUN852087 UEJ852087 UOF852087 UYB852087 VHX852087 VRT852087 WBP852087 WLL852087 WVH852087 D917623 IV917623 SR917623 ACN917623 AMJ917623 AWF917623 BGB917623 BPX917623 BZT917623 CJP917623 CTL917623 DDH917623 DND917623 DWZ917623 EGV917623 EQR917623 FAN917623 FKJ917623 FUF917623 GEB917623 GNX917623 GXT917623 HHP917623 HRL917623 IBH917623 ILD917623 IUZ917623 JEV917623 JOR917623 JYN917623 KIJ917623 KSF917623 LCB917623 LLX917623 LVT917623 MFP917623 MPL917623 MZH917623 NJD917623 NSZ917623 OCV917623 OMR917623 OWN917623 PGJ917623 PQF917623 QAB917623 QJX917623 QTT917623 RDP917623 RNL917623 RXH917623 SHD917623 SQZ917623 TAV917623 TKR917623 TUN917623 UEJ917623 UOF917623 UYB917623 VHX917623 VRT917623 WBP917623 WLL917623 WVH917623 D983159 IV983159 SR983159 ACN983159 AMJ983159 AWF983159 BGB983159 BPX983159 BZT983159 CJP983159 CTL983159 DDH983159 DND983159 DWZ983159 EGV983159 EQR983159 FAN983159 FKJ983159 FUF983159 GEB983159 GNX983159 GXT983159 HHP983159 HRL983159 IBH983159 ILD983159 IUZ983159 JEV983159 JOR983159 JYN983159 KIJ983159 KSF983159 LCB983159 LLX983159 LVT983159 MFP983159 MPL983159 MZH983159 NJD983159 NSZ983159 OCV983159 OMR983159 OWN983159 PGJ983159 PQF983159 QAB983159 QJX983159 QTT983159 RDP983159 RNL983159 RXH983159 SHD983159 SQZ983159 TAV983159 TKR983159 TUN983159 UEJ983159 UOF983159 UYB983159 VHX983159 VRT983159 WBP983159 WLL983159 WVH983159"/>
    <dataValidation type="textLength" allowBlank="1" showErrorMessage="1" error="Debe ingresar una cedula o RUC correctos" sqref="D10">
      <formula1>10</formula1>
      <formula2>13</formula2>
    </dataValidation>
    <dataValidation type="textLength" operator="lessThanOrEqual" allowBlank="1" showInputMessage="1" showErrorMessage="1" sqref="C81:D83 C86:D88 C91:D93 C96:D98">
      <formula1>500</formula1>
    </dataValidation>
    <dataValidation type="textLength" operator="lessThanOrEqual" allowBlank="1" showInputMessage="1" showErrorMessage="1" sqref="C105:D107">
      <formula1>200</formula1>
    </dataValidation>
    <dataValidation type="textLength" operator="equal" allowBlank="1" showInputMessage="1" showErrorMessage="1" error="Debe ingresar los 10 digitos del tenefono sin niguna separacion" sqref="H29">
      <formula1>9</formula1>
    </dataValidation>
    <dataValidation type="textLength" operator="equal" allowBlank="1" showInputMessage="1" showErrorMessage="1" error="Debe ingresar los nueve digitos del telefono sin giones ni separadores , incluyendo el codigo de provincia&#10;" sqref="D29">
      <formula1>8</formula1>
    </dataValidation>
    <dataValidation type="date" operator="lessThan" allowBlank="1" showInputMessage="1" showErrorMessage="1" error="Debe ingresar una fecha valida en formato dd/mm/aaaa" sqref="G176:I179">
      <formula1>54789</formula1>
    </dataValidation>
    <dataValidation type="textLength" operator="equal" allowBlank="1" showInputMessage="1" showErrorMessage="1" error="Debe ingresar los 13 digitos del RUC" sqref="D185:D188">
      <formula1>13</formula1>
    </dataValidation>
    <dataValidation type="decimal" allowBlank="1" showInputMessage="1" showErrorMessage="1" sqref="D134">
      <formula1>0.01</formula1>
      <formula2>250000.01</formula2>
    </dataValidation>
  </dataValidations>
  <pageMargins left="0.70866141732283472" right="0.70866141732283472" top="0.74803149606299213" bottom="0.74803149606299213" header="0.31496062992125984" footer="0.31496062992125984"/>
  <pageSetup paperSize="9" scale="37" fitToHeight="2" orientation="portrait" r:id="rId1"/>
  <drawing r:id="rId2"/>
  <legacyDrawing r:id="rId3"/>
  <extLst xmlns:x14="http://schemas.microsoft.com/office/spreadsheetml/2009/9/main">
    <ext uri="{CCE6A557-97BC-4b89-ADB6-D9C93CAAB3DF}">
      <x14:dataValidations xmlns:xm="http://schemas.microsoft.com/office/excel/2006/main" count="10">
        <x14:dataValidation type="list" allowBlank="1" showInputMessage="1" showErrorMessage="1">
          <x14:formula1>
            <xm:f>#REF!</xm:f>
          </x14:formula1>
          <xm:sqref>WVH983147 WLL983147 WBP983147 VRT983147 VHX983147 UYB983147 UOF983147 UEJ983147 TUN983147 TKR983147 TAV983147 SQZ983147 SHD983147 RXH983147 RNL983147 RDP983147 QTT983147 QJX983147 QAB983147 PQF983147 PGJ983147 OWN983147 OMR983147 OCV983147 NSZ983147 NJD983147 MZH983147 MPL983147 MFP983147 LVT983147 LLX983147 LCB983147 KSF983147 KIJ983147 JYN983147 JOR983147 JEV983147 IUZ983147 ILD983147 IBH983147 HRL983147 HHP983147 GXT983147 GNX983147 GEB983147 FUF983147 FKJ983147 FAN983147 EQR983147 EGV983147 DWZ983147 DND983147 DDH983147 CTL983147 CJP983147 BZT983147 BPX983147 BGB983147 AWF983147 AMJ983147 ACN983147 SR983147 IV983147 D983147 WVH917611 WLL917611 WBP917611 VRT917611 VHX917611 UYB917611 UOF917611 UEJ917611 TUN917611 TKR917611 TAV917611 SQZ917611 SHD917611 RXH917611 RNL917611 RDP917611 QTT917611 QJX917611 QAB917611 PQF917611 PGJ917611 OWN917611 OMR917611 OCV917611 NSZ917611 NJD917611 MZH917611 MPL917611 MFP917611 LVT917611 LLX917611 LCB917611 KSF917611 KIJ917611 JYN917611 JOR917611 JEV917611 IUZ917611 ILD917611 IBH917611 HRL917611 HHP917611 GXT917611 GNX917611 GEB917611 FUF917611 FKJ917611 FAN917611 EQR917611 EGV917611 DWZ917611 DND917611 DDH917611 CTL917611 CJP917611 BZT917611 BPX917611 BGB917611 AWF917611 AMJ917611 ACN917611 SR917611 IV917611 D917611 WVH852075 WLL852075 WBP852075 VRT852075 VHX852075 UYB852075 UOF852075 UEJ852075 TUN852075 TKR852075 TAV852075 SQZ852075 SHD852075 RXH852075 RNL852075 RDP852075 QTT852075 QJX852075 QAB852075 PQF852075 PGJ852075 OWN852075 OMR852075 OCV852075 NSZ852075 NJD852075 MZH852075 MPL852075 MFP852075 LVT852075 LLX852075 LCB852075 KSF852075 KIJ852075 JYN852075 JOR852075 JEV852075 IUZ852075 ILD852075 IBH852075 HRL852075 HHP852075 GXT852075 GNX852075 GEB852075 FUF852075 FKJ852075 FAN852075 EQR852075 EGV852075 DWZ852075 DND852075 DDH852075 CTL852075 CJP852075 BZT852075 BPX852075 BGB852075 AWF852075 AMJ852075 ACN852075 SR852075 IV852075 D852075 WVH786539 WLL786539 WBP786539 VRT786539 VHX786539 UYB786539 UOF786539 UEJ786539 TUN786539 TKR786539 TAV786539 SQZ786539 SHD786539 RXH786539 RNL786539 RDP786539 QTT786539 QJX786539 QAB786539 PQF786539 PGJ786539 OWN786539 OMR786539 OCV786539 NSZ786539 NJD786539 MZH786539 MPL786539 MFP786539 LVT786539 LLX786539 LCB786539 KSF786539 KIJ786539 JYN786539 JOR786539 JEV786539 IUZ786539 ILD786539 IBH786539 HRL786539 HHP786539 GXT786539 GNX786539 GEB786539 FUF786539 FKJ786539 FAN786539 EQR786539 EGV786539 DWZ786539 DND786539 DDH786539 CTL786539 CJP786539 BZT786539 BPX786539 BGB786539 AWF786539 AMJ786539 ACN786539 SR786539 IV786539 D786539 WVH721003 WLL721003 WBP721003 VRT721003 VHX721003 UYB721003 UOF721003 UEJ721003 TUN721003 TKR721003 TAV721003 SQZ721003 SHD721003 RXH721003 RNL721003 RDP721003 QTT721003 QJX721003 QAB721003 PQF721003 PGJ721003 OWN721003 OMR721003 OCV721003 NSZ721003 NJD721003 MZH721003 MPL721003 MFP721003 LVT721003 LLX721003 LCB721003 KSF721003 KIJ721003 JYN721003 JOR721003 JEV721003 IUZ721003 ILD721003 IBH721003 HRL721003 HHP721003 GXT721003 GNX721003 GEB721003 FUF721003 FKJ721003 FAN721003 EQR721003 EGV721003 DWZ721003 DND721003 DDH721003 CTL721003 CJP721003 BZT721003 BPX721003 BGB721003 AWF721003 AMJ721003 ACN721003 SR721003 IV721003 D721003 WVH655467 WLL655467 WBP655467 VRT655467 VHX655467 UYB655467 UOF655467 UEJ655467 TUN655467 TKR655467 TAV655467 SQZ655467 SHD655467 RXH655467 RNL655467 RDP655467 QTT655467 QJX655467 QAB655467 PQF655467 PGJ655467 OWN655467 OMR655467 OCV655467 NSZ655467 NJD655467 MZH655467 MPL655467 MFP655467 LVT655467 LLX655467 LCB655467 KSF655467 KIJ655467 JYN655467 JOR655467 JEV655467 IUZ655467 ILD655467 IBH655467 HRL655467 HHP655467 GXT655467 GNX655467 GEB655467 FUF655467 FKJ655467 FAN655467 EQR655467 EGV655467 DWZ655467 DND655467 DDH655467 CTL655467 CJP655467 BZT655467 BPX655467 BGB655467 AWF655467 AMJ655467 ACN655467 SR655467 IV655467 D655467 WVH589931 WLL589931 WBP589931 VRT589931 VHX589931 UYB589931 UOF589931 UEJ589931 TUN589931 TKR589931 TAV589931 SQZ589931 SHD589931 RXH589931 RNL589931 RDP589931 QTT589931 QJX589931 QAB589931 PQF589931 PGJ589931 OWN589931 OMR589931 OCV589931 NSZ589931 NJD589931 MZH589931 MPL589931 MFP589931 LVT589931 LLX589931 LCB589931 KSF589931 KIJ589931 JYN589931 JOR589931 JEV589931 IUZ589931 ILD589931 IBH589931 HRL589931 HHP589931 GXT589931 GNX589931 GEB589931 FUF589931 FKJ589931 FAN589931 EQR589931 EGV589931 DWZ589931 DND589931 DDH589931 CTL589931 CJP589931 BZT589931 BPX589931 BGB589931 AWF589931 AMJ589931 ACN589931 SR589931 IV589931 D589931 WVH524395 WLL524395 WBP524395 VRT524395 VHX524395 UYB524395 UOF524395 UEJ524395 TUN524395 TKR524395 TAV524395 SQZ524395 SHD524395 RXH524395 RNL524395 RDP524395 QTT524395 QJX524395 QAB524395 PQF524395 PGJ524395 OWN524395 OMR524395 OCV524395 NSZ524395 NJD524395 MZH524395 MPL524395 MFP524395 LVT524395 LLX524395 LCB524395 KSF524395 KIJ524395 JYN524395 JOR524395 JEV524395 IUZ524395 ILD524395 IBH524395 HRL524395 HHP524395 GXT524395 GNX524395 GEB524395 FUF524395 FKJ524395 FAN524395 EQR524395 EGV524395 DWZ524395 DND524395 DDH524395 CTL524395 CJP524395 BZT524395 BPX524395 BGB524395 AWF524395 AMJ524395 ACN524395 SR524395 IV524395 D524395 WVH458859 WLL458859 WBP458859 VRT458859 VHX458859 UYB458859 UOF458859 UEJ458859 TUN458859 TKR458859 TAV458859 SQZ458859 SHD458859 RXH458859 RNL458859 RDP458859 QTT458859 QJX458859 QAB458859 PQF458859 PGJ458859 OWN458859 OMR458859 OCV458859 NSZ458859 NJD458859 MZH458859 MPL458859 MFP458859 LVT458859 LLX458859 LCB458859 KSF458859 KIJ458859 JYN458859 JOR458859 JEV458859 IUZ458859 ILD458859 IBH458859 HRL458859 HHP458859 GXT458859 GNX458859 GEB458859 FUF458859 FKJ458859 FAN458859 EQR458859 EGV458859 DWZ458859 DND458859 DDH458859 CTL458859 CJP458859 BZT458859 BPX458859 BGB458859 AWF458859 AMJ458859 ACN458859 SR458859 IV458859 D458859 WVH393323 WLL393323 WBP393323 VRT393323 VHX393323 UYB393323 UOF393323 UEJ393323 TUN393323 TKR393323 TAV393323 SQZ393323 SHD393323 RXH393323 RNL393323 RDP393323 QTT393323 QJX393323 QAB393323 PQF393323 PGJ393323 OWN393323 OMR393323 OCV393323 NSZ393323 NJD393323 MZH393323 MPL393323 MFP393323 LVT393323 LLX393323 LCB393323 KSF393323 KIJ393323 JYN393323 JOR393323 JEV393323 IUZ393323 ILD393323 IBH393323 HRL393323 HHP393323 GXT393323 GNX393323 GEB393323 FUF393323 FKJ393323 FAN393323 EQR393323 EGV393323 DWZ393323 DND393323 DDH393323 CTL393323 CJP393323 BZT393323 BPX393323 BGB393323 AWF393323 AMJ393323 ACN393323 SR393323 IV393323 D393323 WVH327787 WLL327787 WBP327787 VRT327787 VHX327787 UYB327787 UOF327787 UEJ327787 TUN327787 TKR327787 TAV327787 SQZ327787 SHD327787 RXH327787 RNL327787 RDP327787 QTT327787 QJX327787 QAB327787 PQF327787 PGJ327787 OWN327787 OMR327787 OCV327787 NSZ327787 NJD327787 MZH327787 MPL327787 MFP327787 LVT327787 LLX327787 LCB327787 KSF327787 KIJ327787 JYN327787 JOR327787 JEV327787 IUZ327787 ILD327787 IBH327787 HRL327787 HHP327787 GXT327787 GNX327787 GEB327787 FUF327787 FKJ327787 FAN327787 EQR327787 EGV327787 DWZ327787 DND327787 DDH327787 CTL327787 CJP327787 BZT327787 BPX327787 BGB327787 AWF327787 AMJ327787 ACN327787 SR327787 IV327787 D327787 WVH262251 WLL262251 WBP262251 VRT262251 VHX262251 UYB262251 UOF262251 UEJ262251 TUN262251 TKR262251 TAV262251 SQZ262251 SHD262251 RXH262251 RNL262251 RDP262251 QTT262251 QJX262251 QAB262251 PQF262251 PGJ262251 OWN262251 OMR262251 OCV262251 NSZ262251 NJD262251 MZH262251 MPL262251 MFP262251 LVT262251 LLX262251 LCB262251 KSF262251 KIJ262251 JYN262251 JOR262251 JEV262251 IUZ262251 ILD262251 IBH262251 HRL262251 HHP262251 GXT262251 GNX262251 GEB262251 FUF262251 FKJ262251 FAN262251 EQR262251 EGV262251 DWZ262251 DND262251 DDH262251 CTL262251 CJP262251 BZT262251 BPX262251 BGB262251 AWF262251 AMJ262251 ACN262251 SR262251 IV262251 D262251 WVH196715 WLL196715 WBP196715 VRT196715 VHX196715 UYB196715 UOF196715 UEJ196715 TUN196715 TKR196715 TAV196715 SQZ196715 SHD196715 RXH196715 RNL196715 RDP196715 QTT196715 QJX196715 QAB196715 PQF196715 PGJ196715 OWN196715 OMR196715 OCV196715 NSZ196715 NJD196715 MZH196715 MPL196715 MFP196715 LVT196715 LLX196715 LCB196715 KSF196715 KIJ196715 JYN196715 JOR196715 JEV196715 IUZ196715 ILD196715 IBH196715 HRL196715 HHP196715 GXT196715 GNX196715 GEB196715 FUF196715 FKJ196715 FAN196715 EQR196715 EGV196715 DWZ196715 DND196715 DDH196715 CTL196715 CJP196715 BZT196715 BPX196715 BGB196715 AWF196715 AMJ196715 ACN196715 SR196715 IV196715 D196715 WVH131179 WLL131179 WBP131179 VRT131179 VHX131179 UYB131179 UOF131179 UEJ131179 TUN131179 TKR131179 TAV131179 SQZ131179 SHD131179 RXH131179 RNL131179 RDP131179 QTT131179 QJX131179 QAB131179 PQF131179 PGJ131179 OWN131179 OMR131179 OCV131179 NSZ131179 NJD131179 MZH131179 MPL131179 MFP131179 LVT131179 LLX131179 LCB131179 KSF131179 KIJ131179 JYN131179 JOR131179 JEV131179 IUZ131179 ILD131179 IBH131179 HRL131179 HHP131179 GXT131179 GNX131179 GEB131179 FUF131179 FKJ131179 FAN131179 EQR131179 EGV131179 DWZ131179 DND131179 DDH131179 CTL131179 CJP131179 BZT131179 BPX131179 BGB131179 AWF131179 AMJ131179 ACN131179 SR131179 IV131179 D131179 WVH65643 WLL65643 WBP65643 VRT65643 VHX65643 UYB65643 UOF65643 UEJ65643 TUN65643 TKR65643 TAV65643 SQZ65643 SHD65643 RXH65643 RNL65643 RDP65643 QTT65643 QJX65643 QAB65643 PQF65643 PGJ65643 OWN65643 OMR65643 OCV65643 NSZ65643 NJD65643 MZH65643 MPL65643 MFP65643 LVT65643 LLX65643 LCB65643 KSF65643 KIJ65643 JYN65643 JOR65643 JEV65643 IUZ65643 ILD65643 IBH65643 HRL65643 HHP65643 GXT65643 GNX65643 GEB65643 FUF65643 FKJ65643 FAN65643 EQR65643 EGV65643 DWZ65643 DND65643 DDH65643 CTL65643 CJP65643 BZT65643 BPX65643 BGB65643 AWF65643 AMJ65643 ACN65643 SR65643 IV65643 D65643 WVH102 WLL102 WBP102 VRT102 VHX102 UYB102 UOF102 UEJ102 TUN102 TKR102 TAV102 SQZ102 SHD102 RXH102 RNL102 RDP102 QTT102 QJX102 QAB102 PQF102 PGJ102 OWN102 OMR102 OCV102 NSZ102 NJD102 MZH102 MPL102 MFP102 LVT102 LLX102 LCB102 KSF102 KIJ102 JYN102 JOR102 JEV102 IUZ102 ILD102 IBH102 HRL102 HHP102 GXT102 GNX102 GEB102 FUF102 FKJ102 FAN102 EQR102 EGV102 DWZ102 DND102 DDH102 CTL102 CJP102 BZT102 BPX102 BGB102 AWF102 AMJ102 ACN102 SR102 IV102 SR193 ACN193 AMJ193 AWF193 BGB193 BPX193 BZT193 CJP193 CTL193 DDH193 DND193 DWZ193 EGV193 EQR193 FAN193 FKJ193 FUF193 GEB193 GNX193 GXT193 HHP193 HRL193 IBH193 ILD193 IUZ193 JEV193 JOR193 JYN193 KIJ193 KSF193 LCB193 LLX193 LVT193 MFP193 MPL193 MZH193 NJD193 NSZ193 OCV193 OMR193 OWN193 PGJ193 PQF193 QAB193 QJX193 QTT193 RDP193 RNL193 RXH193 SHD193 SQZ193 TAV193 TKR193 TUN193 UEJ193 UOF193 UYB193 VHX193 VRT193 WBP193 WLL193 WVH193 D65729 IV65729 SR65729 ACN65729 AMJ65729 AWF65729 BGB65729 BPX65729 BZT65729 CJP65729 CTL65729 DDH65729 DND65729 DWZ65729 EGV65729 EQR65729 FAN65729 FKJ65729 FUF65729 GEB65729 GNX65729 GXT65729 HHP65729 HRL65729 IBH65729 ILD65729 IUZ65729 JEV65729 JOR65729 JYN65729 KIJ65729 KSF65729 LCB65729 LLX65729 LVT65729 MFP65729 MPL65729 MZH65729 NJD65729 NSZ65729 OCV65729 OMR65729 OWN65729 PGJ65729 PQF65729 QAB65729 QJX65729 QTT65729 RDP65729 RNL65729 RXH65729 SHD65729 SQZ65729 TAV65729 TKR65729 TUN65729 UEJ65729 UOF65729 UYB65729 VHX65729 VRT65729 WBP65729 WLL65729 WVH65729 D131265 IV131265 SR131265 ACN131265 AMJ131265 AWF131265 BGB131265 BPX131265 BZT131265 CJP131265 CTL131265 DDH131265 DND131265 DWZ131265 EGV131265 EQR131265 FAN131265 FKJ131265 FUF131265 GEB131265 GNX131265 GXT131265 HHP131265 HRL131265 IBH131265 ILD131265 IUZ131265 JEV131265 JOR131265 JYN131265 KIJ131265 KSF131265 LCB131265 LLX131265 LVT131265 MFP131265 MPL131265 MZH131265 NJD131265 NSZ131265 OCV131265 OMR131265 OWN131265 PGJ131265 PQF131265 QAB131265 QJX131265 QTT131265 RDP131265 RNL131265 RXH131265 SHD131265 SQZ131265 TAV131265 TKR131265 TUN131265 UEJ131265 UOF131265 UYB131265 VHX131265 VRT131265 WBP131265 WLL131265 WVH131265 D196801 IV196801 SR196801 ACN196801 AMJ196801 AWF196801 BGB196801 BPX196801 BZT196801 CJP196801 CTL196801 DDH196801 DND196801 DWZ196801 EGV196801 EQR196801 FAN196801 FKJ196801 FUF196801 GEB196801 GNX196801 GXT196801 HHP196801 HRL196801 IBH196801 ILD196801 IUZ196801 JEV196801 JOR196801 JYN196801 KIJ196801 KSF196801 LCB196801 LLX196801 LVT196801 MFP196801 MPL196801 MZH196801 NJD196801 NSZ196801 OCV196801 OMR196801 OWN196801 PGJ196801 PQF196801 QAB196801 QJX196801 QTT196801 RDP196801 RNL196801 RXH196801 SHD196801 SQZ196801 TAV196801 TKR196801 TUN196801 UEJ196801 UOF196801 UYB196801 VHX196801 VRT196801 WBP196801 WLL196801 WVH196801 D262337 IV262337 SR262337 ACN262337 AMJ262337 AWF262337 BGB262337 BPX262337 BZT262337 CJP262337 CTL262337 DDH262337 DND262337 DWZ262337 EGV262337 EQR262337 FAN262337 FKJ262337 FUF262337 GEB262337 GNX262337 GXT262337 HHP262337 HRL262337 IBH262337 ILD262337 IUZ262337 JEV262337 JOR262337 JYN262337 KIJ262337 KSF262337 LCB262337 LLX262337 LVT262337 MFP262337 MPL262337 MZH262337 NJD262337 NSZ262337 OCV262337 OMR262337 OWN262337 PGJ262337 PQF262337 QAB262337 QJX262337 QTT262337 RDP262337 RNL262337 RXH262337 SHD262337 SQZ262337 TAV262337 TKR262337 TUN262337 UEJ262337 UOF262337 UYB262337 VHX262337 VRT262337 WBP262337 WLL262337 WVH262337 D327873 IV327873 SR327873 ACN327873 AMJ327873 AWF327873 BGB327873 BPX327873 BZT327873 CJP327873 CTL327873 DDH327873 DND327873 DWZ327873 EGV327873 EQR327873 FAN327873 FKJ327873 FUF327873 GEB327873 GNX327873 GXT327873 HHP327873 HRL327873 IBH327873 ILD327873 IUZ327873 JEV327873 JOR327873 JYN327873 KIJ327873 KSF327873 LCB327873 LLX327873 LVT327873 MFP327873 MPL327873 MZH327873 NJD327873 NSZ327873 OCV327873 OMR327873 OWN327873 PGJ327873 PQF327873 QAB327873 QJX327873 QTT327873 RDP327873 RNL327873 RXH327873 SHD327873 SQZ327873 TAV327873 TKR327873 TUN327873 UEJ327873 UOF327873 UYB327873 VHX327873 VRT327873 WBP327873 WLL327873 WVH327873 D393409 IV393409 SR393409 ACN393409 AMJ393409 AWF393409 BGB393409 BPX393409 BZT393409 CJP393409 CTL393409 DDH393409 DND393409 DWZ393409 EGV393409 EQR393409 FAN393409 FKJ393409 FUF393409 GEB393409 GNX393409 GXT393409 HHP393409 HRL393409 IBH393409 ILD393409 IUZ393409 JEV393409 JOR393409 JYN393409 KIJ393409 KSF393409 LCB393409 LLX393409 LVT393409 MFP393409 MPL393409 MZH393409 NJD393409 NSZ393409 OCV393409 OMR393409 OWN393409 PGJ393409 PQF393409 QAB393409 QJX393409 QTT393409 RDP393409 RNL393409 RXH393409 SHD393409 SQZ393409 TAV393409 TKR393409 TUN393409 UEJ393409 UOF393409 UYB393409 VHX393409 VRT393409 WBP393409 WLL393409 WVH393409 D458945 IV458945 SR458945 ACN458945 AMJ458945 AWF458945 BGB458945 BPX458945 BZT458945 CJP458945 CTL458945 DDH458945 DND458945 DWZ458945 EGV458945 EQR458945 FAN458945 FKJ458945 FUF458945 GEB458945 GNX458945 GXT458945 HHP458945 HRL458945 IBH458945 ILD458945 IUZ458945 JEV458945 JOR458945 JYN458945 KIJ458945 KSF458945 LCB458945 LLX458945 LVT458945 MFP458945 MPL458945 MZH458945 NJD458945 NSZ458945 OCV458945 OMR458945 OWN458945 PGJ458945 PQF458945 QAB458945 QJX458945 QTT458945 RDP458945 RNL458945 RXH458945 SHD458945 SQZ458945 TAV458945 TKR458945 TUN458945 UEJ458945 UOF458945 UYB458945 VHX458945 VRT458945 WBP458945 WLL458945 WVH458945 D524481 IV524481 SR524481 ACN524481 AMJ524481 AWF524481 BGB524481 BPX524481 BZT524481 CJP524481 CTL524481 DDH524481 DND524481 DWZ524481 EGV524481 EQR524481 FAN524481 FKJ524481 FUF524481 GEB524481 GNX524481 GXT524481 HHP524481 HRL524481 IBH524481 ILD524481 IUZ524481 JEV524481 JOR524481 JYN524481 KIJ524481 KSF524481 LCB524481 LLX524481 LVT524481 MFP524481 MPL524481 MZH524481 NJD524481 NSZ524481 OCV524481 OMR524481 OWN524481 PGJ524481 PQF524481 QAB524481 QJX524481 QTT524481 RDP524481 RNL524481 RXH524481 SHD524481 SQZ524481 TAV524481 TKR524481 TUN524481 UEJ524481 UOF524481 UYB524481 VHX524481 VRT524481 WBP524481 WLL524481 WVH524481 D590017 IV590017 SR590017 ACN590017 AMJ590017 AWF590017 BGB590017 BPX590017 BZT590017 CJP590017 CTL590017 DDH590017 DND590017 DWZ590017 EGV590017 EQR590017 FAN590017 FKJ590017 FUF590017 GEB590017 GNX590017 GXT590017 HHP590017 HRL590017 IBH590017 ILD590017 IUZ590017 JEV590017 JOR590017 JYN590017 KIJ590017 KSF590017 LCB590017 LLX590017 LVT590017 MFP590017 MPL590017 MZH590017 NJD590017 NSZ590017 OCV590017 OMR590017 OWN590017 PGJ590017 PQF590017 QAB590017 QJX590017 QTT590017 RDP590017 RNL590017 RXH590017 SHD590017 SQZ590017 TAV590017 TKR590017 TUN590017 UEJ590017 UOF590017 UYB590017 VHX590017 VRT590017 WBP590017 WLL590017 WVH590017 D655553 IV655553 SR655553 ACN655553 AMJ655553 AWF655553 BGB655553 BPX655553 BZT655553 CJP655553 CTL655553 DDH655553 DND655553 DWZ655553 EGV655553 EQR655553 FAN655553 FKJ655553 FUF655553 GEB655553 GNX655553 GXT655553 HHP655553 HRL655553 IBH655553 ILD655553 IUZ655553 JEV655553 JOR655553 JYN655553 KIJ655553 KSF655553 LCB655553 LLX655553 LVT655553 MFP655553 MPL655553 MZH655553 NJD655553 NSZ655553 OCV655553 OMR655553 OWN655553 PGJ655553 PQF655553 QAB655553 QJX655553 QTT655553 RDP655553 RNL655553 RXH655553 SHD655553 SQZ655553 TAV655553 TKR655553 TUN655553 UEJ655553 UOF655553 UYB655553 VHX655553 VRT655553 WBP655553 WLL655553 WVH655553 D721089 IV721089 SR721089 ACN721089 AMJ721089 AWF721089 BGB721089 BPX721089 BZT721089 CJP721089 CTL721089 DDH721089 DND721089 DWZ721089 EGV721089 EQR721089 FAN721089 FKJ721089 FUF721089 GEB721089 GNX721089 GXT721089 HHP721089 HRL721089 IBH721089 ILD721089 IUZ721089 JEV721089 JOR721089 JYN721089 KIJ721089 KSF721089 LCB721089 LLX721089 LVT721089 MFP721089 MPL721089 MZH721089 NJD721089 NSZ721089 OCV721089 OMR721089 OWN721089 PGJ721089 PQF721089 QAB721089 QJX721089 QTT721089 RDP721089 RNL721089 RXH721089 SHD721089 SQZ721089 TAV721089 TKR721089 TUN721089 UEJ721089 UOF721089 UYB721089 VHX721089 VRT721089 WBP721089 WLL721089 WVH721089 D786625 IV786625 SR786625 ACN786625 AMJ786625 AWF786625 BGB786625 BPX786625 BZT786625 CJP786625 CTL786625 DDH786625 DND786625 DWZ786625 EGV786625 EQR786625 FAN786625 FKJ786625 FUF786625 GEB786625 GNX786625 GXT786625 HHP786625 HRL786625 IBH786625 ILD786625 IUZ786625 JEV786625 JOR786625 JYN786625 KIJ786625 KSF786625 LCB786625 LLX786625 LVT786625 MFP786625 MPL786625 MZH786625 NJD786625 NSZ786625 OCV786625 OMR786625 OWN786625 PGJ786625 PQF786625 QAB786625 QJX786625 QTT786625 RDP786625 RNL786625 RXH786625 SHD786625 SQZ786625 TAV786625 TKR786625 TUN786625 UEJ786625 UOF786625 UYB786625 VHX786625 VRT786625 WBP786625 WLL786625 WVH786625 D852161 IV852161 SR852161 ACN852161 AMJ852161 AWF852161 BGB852161 BPX852161 BZT852161 CJP852161 CTL852161 DDH852161 DND852161 DWZ852161 EGV852161 EQR852161 FAN852161 FKJ852161 FUF852161 GEB852161 GNX852161 GXT852161 HHP852161 HRL852161 IBH852161 ILD852161 IUZ852161 JEV852161 JOR852161 JYN852161 KIJ852161 KSF852161 LCB852161 LLX852161 LVT852161 MFP852161 MPL852161 MZH852161 NJD852161 NSZ852161 OCV852161 OMR852161 OWN852161 PGJ852161 PQF852161 QAB852161 QJX852161 QTT852161 RDP852161 RNL852161 RXH852161 SHD852161 SQZ852161 TAV852161 TKR852161 TUN852161 UEJ852161 UOF852161 UYB852161 VHX852161 VRT852161 WBP852161 WLL852161 WVH852161 D917697 IV917697 SR917697 ACN917697 AMJ917697 AWF917697 BGB917697 BPX917697 BZT917697 CJP917697 CTL917697 DDH917697 DND917697 DWZ917697 EGV917697 EQR917697 FAN917697 FKJ917697 FUF917697 GEB917697 GNX917697 GXT917697 HHP917697 HRL917697 IBH917697 ILD917697 IUZ917697 JEV917697 JOR917697 JYN917697 KIJ917697 KSF917697 LCB917697 LLX917697 LVT917697 MFP917697 MPL917697 MZH917697 NJD917697 NSZ917697 OCV917697 OMR917697 OWN917697 PGJ917697 PQF917697 QAB917697 QJX917697 QTT917697 RDP917697 RNL917697 RXH917697 SHD917697 SQZ917697 TAV917697 TKR917697 TUN917697 UEJ917697 UOF917697 UYB917697 VHX917697 VRT917697 WBP917697 WLL917697 WVH917697 D983233 IV983233 SR983233 ACN983233 AMJ983233 AWF983233 BGB983233 BPX983233 BZT983233 CJP983233 CTL983233 DDH983233 DND983233 DWZ983233 EGV983233 EQR983233 FAN983233 FKJ983233 FUF983233 GEB983233 GNX983233 GXT983233 HHP983233 HRL983233 IBH983233 ILD983233 IUZ983233 JEV983233 JOR983233 JYN983233 KIJ983233 KSF983233 LCB983233 LLX983233 LVT983233 MFP983233 MPL983233 MZH983233 NJD983233 NSZ983233 OCV983233 OMR983233 OWN983233 PGJ983233 PQF983233 QAB983233 QJX983233 QTT983233 RDP983233 RNL983233 RXH983233 SHD983233 SQZ983233 TAV983233 TKR983233 TUN983233 UEJ983233 UOF983233 UYB983233 VHX983233 VRT983233 WBP983233 WLL983233 WVH983233 IV193 IV181 SR181 ACN181 AMJ181 AWF181 BGB181 BPX181 BZT181 CJP181 CTL181 DDH181 DND181 DWZ181 EGV181 EQR181 FAN181 FKJ181 FUF181 GEB181 GNX181 GXT181 HHP181 HRL181 IBH181 ILD181 IUZ181 JEV181 JOR181 JYN181 KIJ181 KSF181 LCB181 LLX181 LVT181 MFP181 MPL181 MZH181 NJD181 NSZ181 OCV181 OMR181 OWN181 PGJ181 PQF181 QAB181 QJX181 QTT181 RDP181 RNL181 RXH181 SHD181 SQZ181 TAV181 TKR181 TUN181 UEJ181 UOF181 UYB181 VHX181 VRT181 WBP181 WLL181 WVH181 D65719 IV65719 SR65719 ACN65719 AMJ65719 AWF65719 BGB65719 BPX65719 BZT65719 CJP65719 CTL65719 DDH65719 DND65719 DWZ65719 EGV65719 EQR65719 FAN65719 FKJ65719 FUF65719 GEB65719 GNX65719 GXT65719 HHP65719 HRL65719 IBH65719 ILD65719 IUZ65719 JEV65719 JOR65719 JYN65719 KIJ65719 KSF65719 LCB65719 LLX65719 LVT65719 MFP65719 MPL65719 MZH65719 NJD65719 NSZ65719 OCV65719 OMR65719 OWN65719 PGJ65719 PQF65719 QAB65719 QJX65719 QTT65719 RDP65719 RNL65719 RXH65719 SHD65719 SQZ65719 TAV65719 TKR65719 TUN65719 UEJ65719 UOF65719 UYB65719 VHX65719 VRT65719 WBP65719 WLL65719 WVH65719 D131255 IV131255 SR131255 ACN131255 AMJ131255 AWF131255 BGB131255 BPX131255 BZT131255 CJP131255 CTL131255 DDH131255 DND131255 DWZ131255 EGV131255 EQR131255 FAN131255 FKJ131255 FUF131255 GEB131255 GNX131255 GXT131255 HHP131255 HRL131255 IBH131255 ILD131255 IUZ131255 JEV131255 JOR131255 JYN131255 KIJ131255 KSF131255 LCB131255 LLX131255 LVT131255 MFP131255 MPL131255 MZH131255 NJD131255 NSZ131255 OCV131255 OMR131255 OWN131255 PGJ131255 PQF131255 QAB131255 QJX131255 QTT131255 RDP131255 RNL131255 RXH131255 SHD131255 SQZ131255 TAV131255 TKR131255 TUN131255 UEJ131255 UOF131255 UYB131255 VHX131255 VRT131255 WBP131255 WLL131255 WVH131255 D196791 IV196791 SR196791 ACN196791 AMJ196791 AWF196791 BGB196791 BPX196791 BZT196791 CJP196791 CTL196791 DDH196791 DND196791 DWZ196791 EGV196791 EQR196791 FAN196791 FKJ196791 FUF196791 GEB196791 GNX196791 GXT196791 HHP196791 HRL196791 IBH196791 ILD196791 IUZ196791 JEV196791 JOR196791 JYN196791 KIJ196791 KSF196791 LCB196791 LLX196791 LVT196791 MFP196791 MPL196791 MZH196791 NJD196791 NSZ196791 OCV196791 OMR196791 OWN196791 PGJ196791 PQF196791 QAB196791 QJX196791 QTT196791 RDP196791 RNL196791 RXH196791 SHD196791 SQZ196791 TAV196791 TKR196791 TUN196791 UEJ196791 UOF196791 UYB196791 VHX196791 VRT196791 WBP196791 WLL196791 WVH196791 D262327 IV262327 SR262327 ACN262327 AMJ262327 AWF262327 BGB262327 BPX262327 BZT262327 CJP262327 CTL262327 DDH262327 DND262327 DWZ262327 EGV262327 EQR262327 FAN262327 FKJ262327 FUF262327 GEB262327 GNX262327 GXT262327 HHP262327 HRL262327 IBH262327 ILD262327 IUZ262327 JEV262327 JOR262327 JYN262327 KIJ262327 KSF262327 LCB262327 LLX262327 LVT262327 MFP262327 MPL262327 MZH262327 NJD262327 NSZ262327 OCV262327 OMR262327 OWN262327 PGJ262327 PQF262327 QAB262327 QJX262327 QTT262327 RDP262327 RNL262327 RXH262327 SHD262327 SQZ262327 TAV262327 TKR262327 TUN262327 UEJ262327 UOF262327 UYB262327 VHX262327 VRT262327 WBP262327 WLL262327 WVH262327 D327863 IV327863 SR327863 ACN327863 AMJ327863 AWF327863 BGB327863 BPX327863 BZT327863 CJP327863 CTL327863 DDH327863 DND327863 DWZ327863 EGV327863 EQR327863 FAN327863 FKJ327863 FUF327863 GEB327863 GNX327863 GXT327863 HHP327863 HRL327863 IBH327863 ILD327863 IUZ327863 JEV327863 JOR327863 JYN327863 KIJ327863 KSF327863 LCB327863 LLX327863 LVT327863 MFP327863 MPL327863 MZH327863 NJD327863 NSZ327863 OCV327863 OMR327863 OWN327863 PGJ327863 PQF327863 QAB327863 QJX327863 QTT327863 RDP327863 RNL327863 RXH327863 SHD327863 SQZ327863 TAV327863 TKR327863 TUN327863 UEJ327863 UOF327863 UYB327863 VHX327863 VRT327863 WBP327863 WLL327863 WVH327863 D393399 IV393399 SR393399 ACN393399 AMJ393399 AWF393399 BGB393399 BPX393399 BZT393399 CJP393399 CTL393399 DDH393399 DND393399 DWZ393399 EGV393399 EQR393399 FAN393399 FKJ393399 FUF393399 GEB393399 GNX393399 GXT393399 HHP393399 HRL393399 IBH393399 ILD393399 IUZ393399 JEV393399 JOR393399 JYN393399 KIJ393399 KSF393399 LCB393399 LLX393399 LVT393399 MFP393399 MPL393399 MZH393399 NJD393399 NSZ393399 OCV393399 OMR393399 OWN393399 PGJ393399 PQF393399 QAB393399 QJX393399 QTT393399 RDP393399 RNL393399 RXH393399 SHD393399 SQZ393399 TAV393399 TKR393399 TUN393399 UEJ393399 UOF393399 UYB393399 VHX393399 VRT393399 WBP393399 WLL393399 WVH393399 D458935 IV458935 SR458935 ACN458935 AMJ458935 AWF458935 BGB458935 BPX458935 BZT458935 CJP458935 CTL458935 DDH458935 DND458935 DWZ458935 EGV458935 EQR458935 FAN458935 FKJ458935 FUF458935 GEB458935 GNX458935 GXT458935 HHP458935 HRL458935 IBH458935 ILD458935 IUZ458935 JEV458935 JOR458935 JYN458935 KIJ458935 KSF458935 LCB458935 LLX458935 LVT458935 MFP458935 MPL458935 MZH458935 NJD458935 NSZ458935 OCV458935 OMR458935 OWN458935 PGJ458935 PQF458935 QAB458935 QJX458935 QTT458935 RDP458935 RNL458935 RXH458935 SHD458935 SQZ458935 TAV458935 TKR458935 TUN458935 UEJ458935 UOF458935 UYB458935 VHX458935 VRT458935 WBP458935 WLL458935 WVH458935 D524471 IV524471 SR524471 ACN524471 AMJ524471 AWF524471 BGB524471 BPX524471 BZT524471 CJP524471 CTL524471 DDH524471 DND524471 DWZ524471 EGV524471 EQR524471 FAN524471 FKJ524471 FUF524471 GEB524471 GNX524471 GXT524471 HHP524471 HRL524471 IBH524471 ILD524471 IUZ524471 JEV524471 JOR524471 JYN524471 KIJ524471 KSF524471 LCB524471 LLX524471 LVT524471 MFP524471 MPL524471 MZH524471 NJD524471 NSZ524471 OCV524471 OMR524471 OWN524471 PGJ524471 PQF524471 QAB524471 QJX524471 QTT524471 RDP524471 RNL524471 RXH524471 SHD524471 SQZ524471 TAV524471 TKR524471 TUN524471 UEJ524471 UOF524471 UYB524471 VHX524471 VRT524471 WBP524471 WLL524471 WVH524471 D590007 IV590007 SR590007 ACN590007 AMJ590007 AWF590007 BGB590007 BPX590007 BZT590007 CJP590007 CTL590007 DDH590007 DND590007 DWZ590007 EGV590007 EQR590007 FAN590007 FKJ590007 FUF590007 GEB590007 GNX590007 GXT590007 HHP590007 HRL590007 IBH590007 ILD590007 IUZ590007 JEV590007 JOR590007 JYN590007 KIJ590007 KSF590007 LCB590007 LLX590007 LVT590007 MFP590007 MPL590007 MZH590007 NJD590007 NSZ590007 OCV590007 OMR590007 OWN590007 PGJ590007 PQF590007 QAB590007 QJX590007 QTT590007 RDP590007 RNL590007 RXH590007 SHD590007 SQZ590007 TAV590007 TKR590007 TUN590007 UEJ590007 UOF590007 UYB590007 VHX590007 VRT590007 WBP590007 WLL590007 WVH590007 D655543 IV655543 SR655543 ACN655543 AMJ655543 AWF655543 BGB655543 BPX655543 BZT655543 CJP655543 CTL655543 DDH655543 DND655543 DWZ655543 EGV655543 EQR655543 FAN655543 FKJ655543 FUF655543 GEB655543 GNX655543 GXT655543 HHP655543 HRL655543 IBH655543 ILD655543 IUZ655543 JEV655543 JOR655543 JYN655543 KIJ655543 KSF655543 LCB655543 LLX655543 LVT655543 MFP655543 MPL655543 MZH655543 NJD655543 NSZ655543 OCV655543 OMR655543 OWN655543 PGJ655543 PQF655543 QAB655543 QJX655543 QTT655543 RDP655543 RNL655543 RXH655543 SHD655543 SQZ655543 TAV655543 TKR655543 TUN655543 UEJ655543 UOF655543 UYB655543 VHX655543 VRT655543 WBP655543 WLL655543 WVH655543 D721079 IV721079 SR721079 ACN721079 AMJ721079 AWF721079 BGB721079 BPX721079 BZT721079 CJP721079 CTL721079 DDH721079 DND721079 DWZ721079 EGV721079 EQR721079 FAN721079 FKJ721079 FUF721079 GEB721079 GNX721079 GXT721079 HHP721079 HRL721079 IBH721079 ILD721079 IUZ721079 JEV721079 JOR721079 JYN721079 KIJ721079 KSF721079 LCB721079 LLX721079 LVT721079 MFP721079 MPL721079 MZH721079 NJD721079 NSZ721079 OCV721079 OMR721079 OWN721079 PGJ721079 PQF721079 QAB721079 QJX721079 QTT721079 RDP721079 RNL721079 RXH721079 SHD721079 SQZ721079 TAV721079 TKR721079 TUN721079 UEJ721079 UOF721079 UYB721079 VHX721079 VRT721079 WBP721079 WLL721079 WVH721079 D786615 IV786615 SR786615 ACN786615 AMJ786615 AWF786615 BGB786615 BPX786615 BZT786615 CJP786615 CTL786615 DDH786615 DND786615 DWZ786615 EGV786615 EQR786615 FAN786615 FKJ786615 FUF786615 GEB786615 GNX786615 GXT786615 HHP786615 HRL786615 IBH786615 ILD786615 IUZ786615 JEV786615 JOR786615 JYN786615 KIJ786615 KSF786615 LCB786615 LLX786615 LVT786615 MFP786615 MPL786615 MZH786615 NJD786615 NSZ786615 OCV786615 OMR786615 OWN786615 PGJ786615 PQF786615 QAB786615 QJX786615 QTT786615 RDP786615 RNL786615 RXH786615 SHD786615 SQZ786615 TAV786615 TKR786615 TUN786615 UEJ786615 UOF786615 UYB786615 VHX786615 VRT786615 WBP786615 WLL786615 WVH786615 D852151 IV852151 SR852151 ACN852151 AMJ852151 AWF852151 BGB852151 BPX852151 BZT852151 CJP852151 CTL852151 DDH852151 DND852151 DWZ852151 EGV852151 EQR852151 FAN852151 FKJ852151 FUF852151 GEB852151 GNX852151 GXT852151 HHP852151 HRL852151 IBH852151 ILD852151 IUZ852151 JEV852151 JOR852151 JYN852151 KIJ852151 KSF852151 LCB852151 LLX852151 LVT852151 MFP852151 MPL852151 MZH852151 NJD852151 NSZ852151 OCV852151 OMR852151 OWN852151 PGJ852151 PQF852151 QAB852151 QJX852151 QTT852151 RDP852151 RNL852151 RXH852151 SHD852151 SQZ852151 TAV852151 TKR852151 TUN852151 UEJ852151 UOF852151 UYB852151 VHX852151 VRT852151 WBP852151 WLL852151 WVH852151 D917687 IV917687 SR917687 ACN917687 AMJ917687 AWF917687 BGB917687 BPX917687 BZT917687 CJP917687 CTL917687 DDH917687 DND917687 DWZ917687 EGV917687 EQR917687 FAN917687 FKJ917687 FUF917687 GEB917687 GNX917687 GXT917687 HHP917687 HRL917687 IBH917687 ILD917687 IUZ917687 JEV917687 JOR917687 JYN917687 KIJ917687 KSF917687 LCB917687 LLX917687 LVT917687 MFP917687 MPL917687 MZH917687 NJD917687 NSZ917687 OCV917687 OMR917687 OWN917687 PGJ917687 PQF917687 QAB917687 QJX917687 QTT917687 RDP917687 RNL917687 RXH917687 SHD917687 SQZ917687 TAV917687 TKR917687 TUN917687 UEJ917687 UOF917687 UYB917687 VHX917687 VRT917687 WBP917687 WLL917687 WVH917687 D983223 IV983223 SR983223 ACN983223 AMJ983223 AWF983223 BGB983223 BPX983223 BZT983223 CJP983223 CTL983223 DDH983223 DND983223 DWZ983223 EGV983223 EQR983223 FAN983223 FKJ983223 FUF983223 GEB983223 GNX983223 GXT983223 HHP983223 HRL983223 IBH983223 ILD983223 IUZ983223 JEV983223 JOR983223 JYN983223 KIJ983223 KSF983223 LCB983223 LLX983223 LVT983223 MFP983223 MPL983223 MZH983223 NJD983223 NSZ983223 OCV983223 OMR983223 OWN983223 PGJ983223 PQF983223 QAB983223 QJX983223 QTT983223 RDP983223 RNL983223 RXH983223 SHD983223 SQZ983223 TAV983223 TKR983223 TUN983223 UEJ983223 UOF983223 UYB983223 VHX983223 VRT983223 WBP983223 WLL983223 WVH983223 WVH983215:WVH983216 IV172 SR172 ACN172 AMJ172 AWF172 BGB172 BPX172 BZT172 CJP172 CTL172 DDH172 DND172 DWZ172 EGV172 EQR172 FAN172 FKJ172 FUF172 GEB172 GNX172 GXT172 HHP172 HRL172 IBH172 ILD172 IUZ172 JEV172 JOR172 JYN172 KIJ172 KSF172 LCB172 LLX172 LVT172 MFP172 MPL172 MZH172 NJD172 NSZ172 OCV172 OMR172 OWN172 PGJ172 PQF172 QAB172 QJX172 QTT172 RDP172 RNL172 RXH172 SHD172 SQZ172 TAV172 TKR172 TUN172 UEJ172 UOF172 UYB172 VHX172 VRT172 WBP172 WLL172 WVH172 D65711:D65712 IV65711:IV65712 SR65711:SR65712 ACN65711:ACN65712 AMJ65711:AMJ65712 AWF65711:AWF65712 BGB65711:BGB65712 BPX65711:BPX65712 BZT65711:BZT65712 CJP65711:CJP65712 CTL65711:CTL65712 DDH65711:DDH65712 DND65711:DND65712 DWZ65711:DWZ65712 EGV65711:EGV65712 EQR65711:EQR65712 FAN65711:FAN65712 FKJ65711:FKJ65712 FUF65711:FUF65712 GEB65711:GEB65712 GNX65711:GNX65712 GXT65711:GXT65712 HHP65711:HHP65712 HRL65711:HRL65712 IBH65711:IBH65712 ILD65711:ILD65712 IUZ65711:IUZ65712 JEV65711:JEV65712 JOR65711:JOR65712 JYN65711:JYN65712 KIJ65711:KIJ65712 KSF65711:KSF65712 LCB65711:LCB65712 LLX65711:LLX65712 LVT65711:LVT65712 MFP65711:MFP65712 MPL65711:MPL65712 MZH65711:MZH65712 NJD65711:NJD65712 NSZ65711:NSZ65712 OCV65711:OCV65712 OMR65711:OMR65712 OWN65711:OWN65712 PGJ65711:PGJ65712 PQF65711:PQF65712 QAB65711:QAB65712 QJX65711:QJX65712 QTT65711:QTT65712 RDP65711:RDP65712 RNL65711:RNL65712 RXH65711:RXH65712 SHD65711:SHD65712 SQZ65711:SQZ65712 TAV65711:TAV65712 TKR65711:TKR65712 TUN65711:TUN65712 UEJ65711:UEJ65712 UOF65711:UOF65712 UYB65711:UYB65712 VHX65711:VHX65712 VRT65711:VRT65712 WBP65711:WBP65712 WLL65711:WLL65712 WVH65711:WVH65712 D131247:D131248 IV131247:IV131248 SR131247:SR131248 ACN131247:ACN131248 AMJ131247:AMJ131248 AWF131247:AWF131248 BGB131247:BGB131248 BPX131247:BPX131248 BZT131247:BZT131248 CJP131247:CJP131248 CTL131247:CTL131248 DDH131247:DDH131248 DND131247:DND131248 DWZ131247:DWZ131248 EGV131247:EGV131248 EQR131247:EQR131248 FAN131247:FAN131248 FKJ131247:FKJ131248 FUF131247:FUF131248 GEB131247:GEB131248 GNX131247:GNX131248 GXT131247:GXT131248 HHP131247:HHP131248 HRL131247:HRL131248 IBH131247:IBH131248 ILD131247:ILD131248 IUZ131247:IUZ131248 JEV131247:JEV131248 JOR131247:JOR131248 JYN131247:JYN131248 KIJ131247:KIJ131248 KSF131247:KSF131248 LCB131247:LCB131248 LLX131247:LLX131248 LVT131247:LVT131248 MFP131247:MFP131248 MPL131247:MPL131248 MZH131247:MZH131248 NJD131247:NJD131248 NSZ131247:NSZ131248 OCV131247:OCV131248 OMR131247:OMR131248 OWN131247:OWN131248 PGJ131247:PGJ131248 PQF131247:PQF131248 QAB131247:QAB131248 QJX131247:QJX131248 QTT131247:QTT131248 RDP131247:RDP131248 RNL131247:RNL131248 RXH131247:RXH131248 SHD131247:SHD131248 SQZ131247:SQZ131248 TAV131247:TAV131248 TKR131247:TKR131248 TUN131247:TUN131248 UEJ131247:UEJ131248 UOF131247:UOF131248 UYB131247:UYB131248 VHX131247:VHX131248 VRT131247:VRT131248 WBP131247:WBP131248 WLL131247:WLL131248 WVH131247:WVH131248 D196783:D196784 IV196783:IV196784 SR196783:SR196784 ACN196783:ACN196784 AMJ196783:AMJ196784 AWF196783:AWF196784 BGB196783:BGB196784 BPX196783:BPX196784 BZT196783:BZT196784 CJP196783:CJP196784 CTL196783:CTL196784 DDH196783:DDH196784 DND196783:DND196784 DWZ196783:DWZ196784 EGV196783:EGV196784 EQR196783:EQR196784 FAN196783:FAN196784 FKJ196783:FKJ196784 FUF196783:FUF196784 GEB196783:GEB196784 GNX196783:GNX196784 GXT196783:GXT196784 HHP196783:HHP196784 HRL196783:HRL196784 IBH196783:IBH196784 ILD196783:ILD196784 IUZ196783:IUZ196784 JEV196783:JEV196784 JOR196783:JOR196784 JYN196783:JYN196784 KIJ196783:KIJ196784 KSF196783:KSF196784 LCB196783:LCB196784 LLX196783:LLX196784 LVT196783:LVT196784 MFP196783:MFP196784 MPL196783:MPL196784 MZH196783:MZH196784 NJD196783:NJD196784 NSZ196783:NSZ196784 OCV196783:OCV196784 OMR196783:OMR196784 OWN196783:OWN196784 PGJ196783:PGJ196784 PQF196783:PQF196784 QAB196783:QAB196784 QJX196783:QJX196784 QTT196783:QTT196784 RDP196783:RDP196784 RNL196783:RNL196784 RXH196783:RXH196784 SHD196783:SHD196784 SQZ196783:SQZ196784 TAV196783:TAV196784 TKR196783:TKR196784 TUN196783:TUN196784 UEJ196783:UEJ196784 UOF196783:UOF196784 UYB196783:UYB196784 VHX196783:VHX196784 VRT196783:VRT196784 WBP196783:WBP196784 WLL196783:WLL196784 WVH196783:WVH196784 D262319:D262320 IV262319:IV262320 SR262319:SR262320 ACN262319:ACN262320 AMJ262319:AMJ262320 AWF262319:AWF262320 BGB262319:BGB262320 BPX262319:BPX262320 BZT262319:BZT262320 CJP262319:CJP262320 CTL262319:CTL262320 DDH262319:DDH262320 DND262319:DND262320 DWZ262319:DWZ262320 EGV262319:EGV262320 EQR262319:EQR262320 FAN262319:FAN262320 FKJ262319:FKJ262320 FUF262319:FUF262320 GEB262319:GEB262320 GNX262319:GNX262320 GXT262319:GXT262320 HHP262319:HHP262320 HRL262319:HRL262320 IBH262319:IBH262320 ILD262319:ILD262320 IUZ262319:IUZ262320 JEV262319:JEV262320 JOR262319:JOR262320 JYN262319:JYN262320 KIJ262319:KIJ262320 KSF262319:KSF262320 LCB262319:LCB262320 LLX262319:LLX262320 LVT262319:LVT262320 MFP262319:MFP262320 MPL262319:MPL262320 MZH262319:MZH262320 NJD262319:NJD262320 NSZ262319:NSZ262320 OCV262319:OCV262320 OMR262319:OMR262320 OWN262319:OWN262320 PGJ262319:PGJ262320 PQF262319:PQF262320 QAB262319:QAB262320 QJX262319:QJX262320 QTT262319:QTT262320 RDP262319:RDP262320 RNL262319:RNL262320 RXH262319:RXH262320 SHD262319:SHD262320 SQZ262319:SQZ262320 TAV262319:TAV262320 TKR262319:TKR262320 TUN262319:TUN262320 UEJ262319:UEJ262320 UOF262319:UOF262320 UYB262319:UYB262320 VHX262319:VHX262320 VRT262319:VRT262320 WBP262319:WBP262320 WLL262319:WLL262320 WVH262319:WVH262320 D327855:D327856 IV327855:IV327856 SR327855:SR327856 ACN327855:ACN327856 AMJ327855:AMJ327856 AWF327855:AWF327856 BGB327855:BGB327856 BPX327855:BPX327856 BZT327855:BZT327856 CJP327855:CJP327856 CTL327855:CTL327856 DDH327855:DDH327856 DND327855:DND327856 DWZ327855:DWZ327856 EGV327855:EGV327856 EQR327855:EQR327856 FAN327855:FAN327856 FKJ327855:FKJ327856 FUF327855:FUF327856 GEB327855:GEB327856 GNX327855:GNX327856 GXT327855:GXT327856 HHP327855:HHP327856 HRL327855:HRL327856 IBH327855:IBH327856 ILD327855:ILD327856 IUZ327855:IUZ327856 JEV327855:JEV327856 JOR327855:JOR327856 JYN327855:JYN327856 KIJ327855:KIJ327856 KSF327855:KSF327856 LCB327855:LCB327856 LLX327855:LLX327856 LVT327855:LVT327856 MFP327855:MFP327856 MPL327855:MPL327856 MZH327855:MZH327856 NJD327855:NJD327856 NSZ327855:NSZ327856 OCV327855:OCV327856 OMR327855:OMR327856 OWN327855:OWN327856 PGJ327855:PGJ327856 PQF327855:PQF327856 QAB327855:QAB327856 QJX327855:QJX327856 QTT327855:QTT327856 RDP327855:RDP327856 RNL327855:RNL327856 RXH327855:RXH327856 SHD327855:SHD327856 SQZ327855:SQZ327856 TAV327855:TAV327856 TKR327855:TKR327856 TUN327855:TUN327856 UEJ327855:UEJ327856 UOF327855:UOF327856 UYB327855:UYB327856 VHX327855:VHX327856 VRT327855:VRT327856 WBP327855:WBP327856 WLL327855:WLL327856 WVH327855:WVH327856 D393391:D393392 IV393391:IV393392 SR393391:SR393392 ACN393391:ACN393392 AMJ393391:AMJ393392 AWF393391:AWF393392 BGB393391:BGB393392 BPX393391:BPX393392 BZT393391:BZT393392 CJP393391:CJP393392 CTL393391:CTL393392 DDH393391:DDH393392 DND393391:DND393392 DWZ393391:DWZ393392 EGV393391:EGV393392 EQR393391:EQR393392 FAN393391:FAN393392 FKJ393391:FKJ393392 FUF393391:FUF393392 GEB393391:GEB393392 GNX393391:GNX393392 GXT393391:GXT393392 HHP393391:HHP393392 HRL393391:HRL393392 IBH393391:IBH393392 ILD393391:ILD393392 IUZ393391:IUZ393392 JEV393391:JEV393392 JOR393391:JOR393392 JYN393391:JYN393392 KIJ393391:KIJ393392 KSF393391:KSF393392 LCB393391:LCB393392 LLX393391:LLX393392 LVT393391:LVT393392 MFP393391:MFP393392 MPL393391:MPL393392 MZH393391:MZH393392 NJD393391:NJD393392 NSZ393391:NSZ393392 OCV393391:OCV393392 OMR393391:OMR393392 OWN393391:OWN393392 PGJ393391:PGJ393392 PQF393391:PQF393392 QAB393391:QAB393392 QJX393391:QJX393392 QTT393391:QTT393392 RDP393391:RDP393392 RNL393391:RNL393392 RXH393391:RXH393392 SHD393391:SHD393392 SQZ393391:SQZ393392 TAV393391:TAV393392 TKR393391:TKR393392 TUN393391:TUN393392 UEJ393391:UEJ393392 UOF393391:UOF393392 UYB393391:UYB393392 VHX393391:VHX393392 VRT393391:VRT393392 WBP393391:WBP393392 WLL393391:WLL393392 WVH393391:WVH393392 D458927:D458928 IV458927:IV458928 SR458927:SR458928 ACN458927:ACN458928 AMJ458927:AMJ458928 AWF458927:AWF458928 BGB458927:BGB458928 BPX458927:BPX458928 BZT458927:BZT458928 CJP458927:CJP458928 CTL458927:CTL458928 DDH458927:DDH458928 DND458927:DND458928 DWZ458927:DWZ458928 EGV458927:EGV458928 EQR458927:EQR458928 FAN458927:FAN458928 FKJ458927:FKJ458928 FUF458927:FUF458928 GEB458927:GEB458928 GNX458927:GNX458928 GXT458927:GXT458928 HHP458927:HHP458928 HRL458927:HRL458928 IBH458927:IBH458928 ILD458927:ILD458928 IUZ458927:IUZ458928 JEV458927:JEV458928 JOR458927:JOR458928 JYN458927:JYN458928 KIJ458927:KIJ458928 KSF458927:KSF458928 LCB458927:LCB458928 LLX458927:LLX458928 LVT458927:LVT458928 MFP458927:MFP458928 MPL458927:MPL458928 MZH458927:MZH458928 NJD458927:NJD458928 NSZ458927:NSZ458928 OCV458927:OCV458928 OMR458927:OMR458928 OWN458927:OWN458928 PGJ458927:PGJ458928 PQF458927:PQF458928 QAB458927:QAB458928 QJX458927:QJX458928 QTT458927:QTT458928 RDP458927:RDP458928 RNL458927:RNL458928 RXH458927:RXH458928 SHD458927:SHD458928 SQZ458927:SQZ458928 TAV458927:TAV458928 TKR458927:TKR458928 TUN458927:TUN458928 UEJ458927:UEJ458928 UOF458927:UOF458928 UYB458927:UYB458928 VHX458927:VHX458928 VRT458927:VRT458928 WBP458927:WBP458928 WLL458927:WLL458928 WVH458927:WVH458928 D524463:D524464 IV524463:IV524464 SR524463:SR524464 ACN524463:ACN524464 AMJ524463:AMJ524464 AWF524463:AWF524464 BGB524463:BGB524464 BPX524463:BPX524464 BZT524463:BZT524464 CJP524463:CJP524464 CTL524463:CTL524464 DDH524463:DDH524464 DND524463:DND524464 DWZ524463:DWZ524464 EGV524463:EGV524464 EQR524463:EQR524464 FAN524463:FAN524464 FKJ524463:FKJ524464 FUF524463:FUF524464 GEB524463:GEB524464 GNX524463:GNX524464 GXT524463:GXT524464 HHP524463:HHP524464 HRL524463:HRL524464 IBH524463:IBH524464 ILD524463:ILD524464 IUZ524463:IUZ524464 JEV524463:JEV524464 JOR524463:JOR524464 JYN524463:JYN524464 KIJ524463:KIJ524464 KSF524463:KSF524464 LCB524463:LCB524464 LLX524463:LLX524464 LVT524463:LVT524464 MFP524463:MFP524464 MPL524463:MPL524464 MZH524463:MZH524464 NJD524463:NJD524464 NSZ524463:NSZ524464 OCV524463:OCV524464 OMR524463:OMR524464 OWN524463:OWN524464 PGJ524463:PGJ524464 PQF524463:PQF524464 QAB524463:QAB524464 QJX524463:QJX524464 QTT524463:QTT524464 RDP524463:RDP524464 RNL524463:RNL524464 RXH524463:RXH524464 SHD524463:SHD524464 SQZ524463:SQZ524464 TAV524463:TAV524464 TKR524463:TKR524464 TUN524463:TUN524464 UEJ524463:UEJ524464 UOF524463:UOF524464 UYB524463:UYB524464 VHX524463:VHX524464 VRT524463:VRT524464 WBP524463:WBP524464 WLL524463:WLL524464 WVH524463:WVH524464 D589999:D590000 IV589999:IV590000 SR589999:SR590000 ACN589999:ACN590000 AMJ589999:AMJ590000 AWF589999:AWF590000 BGB589999:BGB590000 BPX589999:BPX590000 BZT589999:BZT590000 CJP589999:CJP590000 CTL589999:CTL590000 DDH589999:DDH590000 DND589999:DND590000 DWZ589999:DWZ590000 EGV589999:EGV590000 EQR589999:EQR590000 FAN589999:FAN590000 FKJ589999:FKJ590000 FUF589999:FUF590000 GEB589999:GEB590000 GNX589999:GNX590000 GXT589999:GXT590000 HHP589999:HHP590000 HRL589999:HRL590000 IBH589999:IBH590000 ILD589999:ILD590000 IUZ589999:IUZ590000 JEV589999:JEV590000 JOR589999:JOR590000 JYN589999:JYN590000 KIJ589999:KIJ590000 KSF589999:KSF590000 LCB589999:LCB590000 LLX589999:LLX590000 LVT589999:LVT590000 MFP589999:MFP590000 MPL589999:MPL590000 MZH589999:MZH590000 NJD589999:NJD590000 NSZ589999:NSZ590000 OCV589999:OCV590000 OMR589999:OMR590000 OWN589999:OWN590000 PGJ589999:PGJ590000 PQF589999:PQF590000 QAB589999:QAB590000 QJX589999:QJX590000 QTT589999:QTT590000 RDP589999:RDP590000 RNL589999:RNL590000 RXH589999:RXH590000 SHD589999:SHD590000 SQZ589999:SQZ590000 TAV589999:TAV590000 TKR589999:TKR590000 TUN589999:TUN590000 UEJ589999:UEJ590000 UOF589999:UOF590000 UYB589999:UYB590000 VHX589999:VHX590000 VRT589999:VRT590000 WBP589999:WBP590000 WLL589999:WLL590000 WVH589999:WVH590000 D655535:D655536 IV655535:IV655536 SR655535:SR655536 ACN655535:ACN655536 AMJ655535:AMJ655536 AWF655535:AWF655536 BGB655535:BGB655536 BPX655535:BPX655536 BZT655535:BZT655536 CJP655535:CJP655536 CTL655535:CTL655536 DDH655535:DDH655536 DND655535:DND655536 DWZ655535:DWZ655536 EGV655535:EGV655536 EQR655535:EQR655536 FAN655535:FAN655536 FKJ655535:FKJ655536 FUF655535:FUF655536 GEB655535:GEB655536 GNX655535:GNX655536 GXT655535:GXT655536 HHP655535:HHP655536 HRL655535:HRL655536 IBH655535:IBH655536 ILD655535:ILD655536 IUZ655535:IUZ655536 JEV655535:JEV655536 JOR655535:JOR655536 JYN655535:JYN655536 KIJ655535:KIJ655536 KSF655535:KSF655536 LCB655535:LCB655536 LLX655535:LLX655536 LVT655535:LVT655536 MFP655535:MFP655536 MPL655535:MPL655536 MZH655535:MZH655536 NJD655535:NJD655536 NSZ655535:NSZ655536 OCV655535:OCV655536 OMR655535:OMR655536 OWN655535:OWN655536 PGJ655535:PGJ655536 PQF655535:PQF655536 QAB655535:QAB655536 QJX655535:QJX655536 QTT655535:QTT655536 RDP655535:RDP655536 RNL655535:RNL655536 RXH655535:RXH655536 SHD655535:SHD655536 SQZ655535:SQZ655536 TAV655535:TAV655536 TKR655535:TKR655536 TUN655535:TUN655536 UEJ655535:UEJ655536 UOF655535:UOF655536 UYB655535:UYB655536 VHX655535:VHX655536 VRT655535:VRT655536 WBP655535:WBP655536 WLL655535:WLL655536 WVH655535:WVH655536 D721071:D721072 IV721071:IV721072 SR721071:SR721072 ACN721071:ACN721072 AMJ721071:AMJ721072 AWF721071:AWF721072 BGB721071:BGB721072 BPX721071:BPX721072 BZT721071:BZT721072 CJP721071:CJP721072 CTL721071:CTL721072 DDH721071:DDH721072 DND721071:DND721072 DWZ721071:DWZ721072 EGV721071:EGV721072 EQR721071:EQR721072 FAN721071:FAN721072 FKJ721071:FKJ721072 FUF721071:FUF721072 GEB721071:GEB721072 GNX721071:GNX721072 GXT721071:GXT721072 HHP721071:HHP721072 HRL721071:HRL721072 IBH721071:IBH721072 ILD721071:ILD721072 IUZ721071:IUZ721072 JEV721071:JEV721072 JOR721071:JOR721072 JYN721071:JYN721072 KIJ721071:KIJ721072 KSF721071:KSF721072 LCB721071:LCB721072 LLX721071:LLX721072 LVT721071:LVT721072 MFP721071:MFP721072 MPL721071:MPL721072 MZH721071:MZH721072 NJD721071:NJD721072 NSZ721071:NSZ721072 OCV721071:OCV721072 OMR721071:OMR721072 OWN721071:OWN721072 PGJ721071:PGJ721072 PQF721071:PQF721072 QAB721071:QAB721072 QJX721071:QJX721072 QTT721071:QTT721072 RDP721071:RDP721072 RNL721071:RNL721072 RXH721071:RXH721072 SHD721071:SHD721072 SQZ721071:SQZ721072 TAV721071:TAV721072 TKR721071:TKR721072 TUN721071:TUN721072 UEJ721071:UEJ721072 UOF721071:UOF721072 UYB721071:UYB721072 VHX721071:VHX721072 VRT721071:VRT721072 WBP721071:WBP721072 WLL721071:WLL721072 WVH721071:WVH721072 D786607:D786608 IV786607:IV786608 SR786607:SR786608 ACN786607:ACN786608 AMJ786607:AMJ786608 AWF786607:AWF786608 BGB786607:BGB786608 BPX786607:BPX786608 BZT786607:BZT786608 CJP786607:CJP786608 CTL786607:CTL786608 DDH786607:DDH786608 DND786607:DND786608 DWZ786607:DWZ786608 EGV786607:EGV786608 EQR786607:EQR786608 FAN786607:FAN786608 FKJ786607:FKJ786608 FUF786607:FUF786608 GEB786607:GEB786608 GNX786607:GNX786608 GXT786607:GXT786608 HHP786607:HHP786608 HRL786607:HRL786608 IBH786607:IBH786608 ILD786607:ILD786608 IUZ786607:IUZ786608 JEV786607:JEV786608 JOR786607:JOR786608 JYN786607:JYN786608 KIJ786607:KIJ786608 KSF786607:KSF786608 LCB786607:LCB786608 LLX786607:LLX786608 LVT786607:LVT786608 MFP786607:MFP786608 MPL786607:MPL786608 MZH786607:MZH786608 NJD786607:NJD786608 NSZ786607:NSZ786608 OCV786607:OCV786608 OMR786607:OMR786608 OWN786607:OWN786608 PGJ786607:PGJ786608 PQF786607:PQF786608 QAB786607:QAB786608 QJX786607:QJX786608 QTT786607:QTT786608 RDP786607:RDP786608 RNL786607:RNL786608 RXH786607:RXH786608 SHD786607:SHD786608 SQZ786607:SQZ786608 TAV786607:TAV786608 TKR786607:TKR786608 TUN786607:TUN786608 UEJ786607:UEJ786608 UOF786607:UOF786608 UYB786607:UYB786608 VHX786607:VHX786608 VRT786607:VRT786608 WBP786607:WBP786608 WLL786607:WLL786608 WVH786607:WVH786608 D852143:D852144 IV852143:IV852144 SR852143:SR852144 ACN852143:ACN852144 AMJ852143:AMJ852144 AWF852143:AWF852144 BGB852143:BGB852144 BPX852143:BPX852144 BZT852143:BZT852144 CJP852143:CJP852144 CTL852143:CTL852144 DDH852143:DDH852144 DND852143:DND852144 DWZ852143:DWZ852144 EGV852143:EGV852144 EQR852143:EQR852144 FAN852143:FAN852144 FKJ852143:FKJ852144 FUF852143:FUF852144 GEB852143:GEB852144 GNX852143:GNX852144 GXT852143:GXT852144 HHP852143:HHP852144 HRL852143:HRL852144 IBH852143:IBH852144 ILD852143:ILD852144 IUZ852143:IUZ852144 JEV852143:JEV852144 JOR852143:JOR852144 JYN852143:JYN852144 KIJ852143:KIJ852144 KSF852143:KSF852144 LCB852143:LCB852144 LLX852143:LLX852144 LVT852143:LVT852144 MFP852143:MFP852144 MPL852143:MPL852144 MZH852143:MZH852144 NJD852143:NJD852144 NSZ852143:NSZ852144 OCV852143:OCV852144 OMR852143:OMR852144 OWN852143:OWN852144 PGJ852143:PGJ852144 PQF852143:PQF852144 QAB852143:QAB852144 QJX852143:QJX852144 QTT852143:QTT852144 RDP852143:RDP852144 RNL852143:RNL852144 RXH852143:RXH852144 SHD852143:SHD852144 SQZ852143:SQZ852144 TAV852143:TAV852144 TKR852143:TKR852144 TUN852143:TUN852144 UEJ852143:UEJ852144 UOF852143:UOF852144 UYB852143:UYB852144 VHX852143:VHX852144 VRT852143:VRT852144 WBP852143:WBP852144 WLL852143:WLL852144 WVH852143:WVH852144 D917679:D917680 IV917679:IV917680 SR917679:SR917680 ACN917679:ACN917680 AMJ917679:AMJ917680 AWF917679:AWF917680 BGB917679:BGB917680 BPX917679:BPX917680 BZT917679:BZT917680 CJP917679:CJP917680 CTL917679:CTL917680 DDH917679:DDH917680 DND917679:DND917680 DWZ917679:DWZ917680 EGV917679:EGV917680 EQR917679:EQR917680 FAN917679:FAN917680 FKJ917679:FKJ917680 FUF917679:FUF917680 GEB917679:GEB917680 GNX917679:GNX917680 GXT917679:GXT917680 HHP917679:HHP917680 HRL917679:HRL917680 IBH917679:IBH917680 ILD917679:ILD917680 IUZ917679:IUZ917680 JEV917679:JEV917680 JOR917679:JOR917680 JYN917679:JYN917680 KIJ917679:KIJ917680 KSF917679:KSF917680 LCB917679:LCB917680 LLX917679:LLX917680 LVT917679:LVT917680 MFP917679:MFP917680 MPL917679:MPL917680 MZH917679:MZH917680 NJD917679:NJD917680 NSZ917679:NSZ917680 OCV917679:OCV917680 OMR917679:OMR917680 OWN917679:OWN917680 PGJ917679:PGJ917680 PQF917679:PQF917680 QAB917679:QAB917680 QJX917679:QJX917680 QTT917679:QTT917680 RDP917679:RDP917680 RNL917679:RNL917680 RXH917679:RXH917680 SHD917679:SHD917680 SQZ917679:SQZ917680 TAV917679:TAV917680 TKR917679:TKR917680 TUN917679:TUN917680 UEJ917679:UEJ917680 UOF917679:UOF917680 UYB917679:UYB917680 VHX917679:VHX917680 VRT917679:VRT917680 WBP917679:WBP917680 WLL917679:WLL917680 WVH917679:WVH917680 D983215:D983216 IV983215:IV983216 SR983215:SR983216 ACN983215:ACN983216 AMJ983215:AMJ983216 AWF983215:AWF983216 BGB983215:BGB983216 BPX983215:BPX983216 BZT983215:BZT983216 CJP983215:CJP983216 CTL983215:CTL983216 DDH983215:DDH983216 DND983215:DND983216 DWZ983215:DWZ983216 EGV983215:EGV983216 EQR983215:EQR983216 FAN983215:FAN983216 FKJ983215:FKJ983216 FUF983215:FUF983216 GEB983215:GEB983216 GNX983215:GNX983216 GXT983215:GXT983216 HHP983215:HHP983216 HRL983215:HRL983216 IBH983215:IBH983216 ILD983215:ILD983216 IUZ983215:IUZ983216 JEV983215:JEV983216 JOR983215:JOR983216 JYN983215:JYN983216 KIJ983215:KIJ983216 KSF983215:KSF983216 LCB983215:LCB983216 LLX983215:LLX983216 LVT983215:LVT983216 MFP983215:MFP983216 MPL983215:MPL983216 MZH983215:MZH983216 NJD983215:NJD983216 NSZ983215:NSZ983216 OCV983215:OCV983216 OMR983215:OMR983216 OWN983215:OWN983216 PGJ983215:PGJ983216 PQF983215:PQF983216 QAB983215:QAB983216 QJX983215:QJX983216 QTT983215:QTT983216 RDP983215:RDP983216 RNL983215:RNL983216 RXH983215:RXH983216 SHD983215:SHD983216 SQZ983215:SQZ983216 TAV983215:TAV983216 TKR983215:TKR983216 TUN983215:TUN983216 UEJ983215:UEJ983216 UOF983215:UOF983216 UYB983215:UYB983216 VHX983215:VHX983216 VRT983215:VRT983216 WBP983215:WBP983216 WLL983215:WLL983216 IV100 IW176:IW179 SS176:SS179 ACO176:ACO179 AMK176:AMK179 AWG176:AWG179 BGC176:BGC179 BPY176:BPY179 BZU176:BZU179 CJQ176:CJQ179 CTM176:CTM179 DDI176:DDI179 DNE176:DNE179 DXA176:DXA179 EGW176:EGW179 EQS176:EQS179 FAO176:FAO179 FKK176:FKK179 FUG176:FUG179 GEC176:GEC179 GNY176:GNY179 GXU176:GXU179 HHQ176:HHQ179 HRM176:HRM179 IBI176:IBI179 ILE176:ILE179 IVA176:IVA179 JEW176:JEW179 JOS176:JOS179 JYO176:JYO179 KIK176:KIK179 KSG176:KSG179 LCC176:LCC179 LLY176:LLY179 LVU176:LVU179 MFQ176:MFQ179 MPM176:MPM179 MZI176:MZI179 NJE176:NJE179 NTA176:NTA179 OCW176:OCW179 OMS176:OMS179 OWO176:OWO179 PGK176:PGK179 PQG176:PQG179 QAC176:QAC179 QJY176:QJY179 QTU176:QTU179 RDQ176:RDQ179 RNM176:RNM179 RXI176:RXI179 SHE176:SHE179 SRA176:SRA179 TAW176:TAW179 TKS176:TKS179 TUO176:TUO179 UEK176:UEK179 UOG176:UOG179 UYC176:UYC179 VHY176:VHY179 VRU176:VRU179 WBQ176:WBQ179 WLM176:WLM179 WVI176:WVI179 E65716:E65717 IW65716:IW65717 SS65716:SS65717 ACO65716:ACO65717 AMK65716:AMK65717 AWG65716:AWG65717 BGC65716:BGC65717 BPY65716:BPY65717 BZU65716:BZU65717 CJQ65716:CJQ65717 CTM65716:CTM65717 DDI65716:DDI65717 DNE65716:DNE65717 DXA65716:DXA65717 EGW65716:EGW65717 EQS65716:EQS65717 FAO65716:FAO65717 FKK65716:FKK65717 FUG65716:FUG65717 GEC65716:GEC65717 GNY65716:GNY65717 GXU65716:GXU65717 HHQ65716:HHQ65717 HRM65716:HRM65717 IBI65716:IBI65717 ILE65716:ILE65717 IVA65716:IVA65717 JEW65716:JEW65717 JOS65716:JOS65717 JYO65716:JYO65717 KIK65716:KIK65717 KSG65716:KSG65717 LCC65716:LCC65717 LLY65716:LLY65717 LVU65716:LVU65717 MFQ65716:MFQ65717 MPM65716:MPM65717 MZI65716:MZI65717 NJE65716:NJE65717 NTA65716:NTA65717 OCW65716:OCW65717 OMS65716:OMS65717 OWO65716:OWO65717 PGK65716:PGK65717 PQG65716:PQG65717 QAC65716:QAC65717 QJY65716:QJY65717 QTU65716:QTU65717 RDQ65716:RDQ65717 RNM65716:RNM65717 RXI65716:RXI65717 SHE65716:SHE65717 SRA65716:SRA65717 TAW65716:TAW65717 TKS65716:TKS65717 TUO65716:TUO65717 UEK65716:UEK65717 UOG65716:UOG65717 UYC65716:UYC65717 VHY65716:VHY65717 VRU65716:VRU65717 WBQ65716:WBQ65717 WLM65716:WLM65717 WVI65716:WVI65717 E131252:E131253 IW131252:IW131253 SS131252:SS131253 ACO131252:ACO131253 AMK131252:AMK131253 AWG131252:AWG131253 BGC131252:BGC131253 BPY131252:BPY131253 BZU131252:BZU131253 CJQ131252:CJQ131253 CTM131252:CTM131253 DDI131252:DDI131253 DNE131252:DNE131253 DXA131252:DXA131253 EGW131252:EGW131253 EQS131252:EQS131253 FAO131252:FAO131253 FKK131252:FKK131253 FUG131252:FUG131253 GEC131252:GEC131253 GNY131252:GNY131253 GXU131252:GXU131253 HHQ131252:HHQ131253 HRM131252:HRM131253 IBI131252:IBI131253 ILE131252:ILE131253 IVA131252:IVA131253 JEW131252:JEW131253 JOS131252:JOS131253 JYO131252:JYO131253 KIK131252:KIK131253 KSG131252:KSG131253 LCC131252:LCC131253 LLY131252:LLY131253 LVU131252:LVU131253 MFQ131252:MFQ131253 MPM131252:MPM131253 MZI131252:MZI131253 NJE131252:NJE131253 NTA131252:NTA131253 OCW131252:OCW131253 OMS131252:OMS131253 OWO131252:OWO131253 PGK131252:PGK131253 PQG131252:PQG131253 QAC131252:QAC131253 QJY131252:QJY131253 QTU131252:QTU131253 RDQ131252:RDQ131253 RNM131252:RNM131253 RXI131252:RXI131253 SHE131252:SHE131253 SRA131252:SRA131253 TAW131252:TAW131253 TKS131252:TKS131253 TUO131252:TUO131253 UEK131252:UEK131253 UOG131252:UOG131253 UYC131252:UYC131253 VHY131252:VHY131253 VRU131252:VRU131253 WBQ131252:WBQ131253 WLM131252:WLM131253 WVI131252:WVI131253 E196788:E196789 IW196788:IW196789 SS196788:SS196789 ACO196788:ACO196789 AMK196788:AMK196789 AWG196788:AWG196789 BGC196788:BGC196789 BPY196788:BPY196789 BZU196788:BZU196789 CJQ196788:CJQ196789 CTM196788:CTM196789 DDI196788:DDI196789 DNE196788:DNE196789 DXA196788:DXA196789 EGW196788:EGW196789 EQS196788:EQS196789 FAO196788:FAO196789 FKK196788:FKK196789 FUG196788:FUG196789 GEC196788:GEC196789 GNY196788:GNY196789 GXU196788:GXU196789 HHQ196788:HHQ196789 HRM196788:HRM196789 IBI196788:IBI196789 ILE196788:ILE196789 IVA196788:IVA196789 JEW196788:JEW196789 JOS196788:JOS196789 JYO196788:JYO196789 KIK196788:KIK196789 KSG196788:KSG196789 LCC196788:LCC196789 LLY196788:LLY196789 LVU196788:LVU196789 MFQ196788:MFQ196789 MPM196788:MPM196789 MZI196788:MZI196789 NJE196788:NJE196789 NTA196788:NTA196789 OCW196788:OCW196789 OMS196788:OMS196789 OWO196788:OWO196789 PGK196788:PGK196789 PQG196788:PQG196789 QAC196788:QAC196789 QJY196788:QJY196789 QTU196788:QTU196789 RDQ196788:RDQ196789 RNM196788:RNM196789 RXI196788:RXI196789 SHE196788:SHE196789 SRA196788:SRA196789 TAW196788:TAW196789 TKS196788:TKS196789 TUO196788:TUO196789 UEK196788:UEK196789 UOG196788:UOG196789 UYC196788:UYC196789 VHY196788:VHY196789 VRU196788:VRU196789 WBQ196788:WBQ196789 WLM196788:WLM196789 WVI196788:WVI196789 E262324:E262325 IW262324:IW262325 SS262324:SS262325 ACO262324:ACO262325 AMK262324:AMK262325 AWG262324:AWG262325 BGC262324:BGC262325 BPY262324:BPY262325 BZU262324:BZU262325 CJQ262324:CJQ262325 CTM262324:CTM262325 DDI262324:DDI262325 DNE262324:DNE262325 DXA262324:DXA262325 EGW262324:EGW262325 EQS262324:EQS262325 FAO262324:FAO262325 FKK262324:FKK262325 FUG262324:FUG262325 GEC262324:GEC262325 GNY262324:GNY262325 GXU262324:GXU262325 HHQ262324:HHQ262325 HRM262324:HRM262325 IBI262324:IBI262325 ILE262324:ILE262325 IVA262324:IVA262325 JEW262324:JEW262325 JOS262324:JOS262325 JYO262324:JYO262325 KIK262324:KIK262325 KSG262324:KSG262325 LCC262324:LCC262325 LLY262324:LLY262325 LVU262324:LVU262325 MFQ262324:MFQ262325 MPM262324:MPM262325 MZI262324:MZI262325 NJE262324:NJE262325 NTA262324:NTA262325 OCW262324:OCW262325 OMS262324:OMS262325 OWO262324:OWO262325 PGK262324:PGK262325 PQG262324:PQG262325 QAC262324:QAC262325 QJY262324:QJY262325 QTU262324:QTU262325 RDQ262324:RDQ262325 RNM262324:RNM262325 RXI262324:RXI262325 SHE262324:SHE262325 SRA262324:SRA262325 TAW262324:TAW262325 TKS262324:TKS262325 TUO262324:TUO262325 UEK262324:UEK262325 UOG262324:UOG262325 UYC262324:UYC262325 VHY262324:VHY262325 VRU262324:VRU262325 WBQ262324:WBQ262325 WLM262324:WLM262325 WVI262324:WVI262325 E327860:E327861 IW327860:IW327861 SS327860:SS327861 ACO327860:ACO327861 AMK327860:AMK327861 AWG327860:AWG327861 BGC327860:BGC327861 BPY327860:BPY327861 BZU327860:BZU327861 CJQ327860:CJQ327861 CTM327860:CTM327861 DDI327860:DDI327861 DNE327860:DNE327861 DXA327860:DXA327861 EGW327860:EGW327861 EQS327860:EQS327861 FAO327860:FAO327861 FKK327860:FKK327861 FUG327860:FUG327861 GEC327860:GEC327861 GNY327860:GNY327861 GXU327860:GXU327861 HHQ327860:HHQ327861 HRM327860:HRM327861 IBI327860:IBI327861 ILE327860:ILE327861 IVA327860:IVA327861 JEW327860:JEW327861 JOS327860:JOS327861 JYO327860:JYO327861 KIK327860:KIK327861 KSG327860:KSG327861 LCC327860:LCC327861 LLY327860:LLY327861 LVU327860:LVU327861 MFQ327860:MFQ327861 MPM327860:MPM327861 MZI327860:MZI327861 NJE327860:NJE327861 NTA327860:NTA327861 OCW327860:OCW327861 OMS327860:OMS327861 OWO327860:OWO327861 PGK327860:PGK327861 PQG327860:PQG327861 QAC327860:QAC327861 QJY327860:QJY327861 QTU327860:QTU327861 RDQ327860:RDQ327861 RNM327860:RNM327861 RXI327860:RXI327861 SHE327860:SHE327861 SRA327860:SRA327861 TAW327860:TAW327861 TKS327860:TKS327861 TUO327860:TUO327861 UEK327860:UEK327861 UOG327860:UOG327861 UYC327860:UYC327861 VHY327860:VHY327861 VRU327860:VRU327861 WBQ327860:WBQ327861 WLM327860:WLM327861 WVI327860:WVI327861 E393396:E393397 IW393396:IW393397 SS393396:SS393397 ACO393396:ACO393397 AMK393396:AMK393397 AWG393396:AWG393397 BGC393396:BGC393397 BPY393396:BPY393397 BZU393396:BZU393397 CJQ393396:CJQ393397 CTM393396:CTM393397 DDI393396:DDI393397 DNE393396:DNE393397 DXA393396:DXA393397 EGW393396:EGW393397 EQS393396:EQS393397 FAO393396:FAO393397 FKK393396:FKK393397 FUG393396:FUG393397 GEC393396:GEC393397 GNY393396:GNY393397 GXU393396:GXU393397 HHQ393396:HHQ393397 HRM393396:HRM393397 IBI393396:IBI393397 ILE393396:ILE393397 IVA393396:IVA393397 JEW393396:JEW393397 JOS393396:JOS393397 JYO393396:JYO393397 KIK393396:KIK393397 KSG393396:KSG393397 LCC393396:LCC393397 LLY393396:LLY393397 LVU393396:LVU393397 MFQ393396:MFQ393397 MPM393396:MPM393397 MZI393396:MZI393397 NJE393396:NJE393397 NTA393396:NTA393397 OCW393396:OCW393397 OMS393396:OMS393397 OWO393396:OWO393397 PGK393396:PGK393397 PQG393396:PQG393397 QAC393396:QAC393397 QJY393396:QJY393397 QTU393396:QTU393397 RDQ393396:RDQ393397 RNM393396:RNM393397 RXI393396:RXI393397 SHE393396:SHE393397 SRA393396:SRA393397 TAW393396:TAW393397 TKS393396:TKS393397 TUO393396:TUO393397 UEK393396:UEK393397 UOG393396:UOG393397 UYC393396:UYC393397 VHY393396:VHY393397 VRU393396:VRU393397 WBQ393396:WBQ393397 WLM393396:WLM393397 WVI393396:WVI393397 E458932:E458933 IW458932:IW458933 SS458932:SS458933 ACO458932:ACO458933 AMK458932:AMK458933 AWG458932:AWG458933 BGC458932:BGC458933 BPY458932:BPY458933 BZU458932:BZU458933 CJQ458932:CJQ458933 CTM458932:CTM458933 DDI458932:DDI458933 DNE458932:DNE458933 DXA458932:DXA458933 EGW458932:EGW458933 EQS458932:EQS458933 FAO458932:FAO458933 FKK458932:FKK458933 FUG458932:FUG458933 GEC458932:GEC458933 GNY458932:GNY458933 GXU458932:GXU458933 HHQ458932:HHQ458933 HRM458932:HRM458933 IBI458932:IBI458933 ILE458932:ILE458933 IVA458932:IVA458933 JEW458932:JEW458933 JOS458932:JOS458933 JYO458932:JYO458933 KIK458932:KIK458933 KSG458932:KSG458933 LCC458932:LCC458933 LLY458932:LLY458933 LVU458932:LVU458933 MFQ458932:MFQ458933 MPM458932:MPM458933 MZI458932:MZI458933 NJE458932:NJE458933 NTA458932:NTA458933 OCW458932:OCW458933 OMS458932:OMS458933 OWO458932:OWO458933 PGK458932:PGK458933 PQG458932:PQG458933 QAC458932:QAC458933 QJY458932:QJY458933 QTU458932:QTU458933 RDQ458932:RDQ458933 RNM458932:RNM458933 RXI458932:RXI458933 SHE458932:SHE458933 SRA458932:SRA458933 TAW458932:TAW458933 TKS458932:TKS458933 TUO458932:TUO458933 UEK458932:UEK458933 UOG458932:UOG458933 UYC458932:UYC458933 VHY458932:VHY458933 VRU458932:VRU458933 WBQ458932:WBQ458933 WLM458932:WLM458933 WVI458932:WVI458933 E524468:E524469 IW524468:IW524469 SS524468:SS524469 ACO524468:ACO524469 AMK524468:AMK524469 AWG524468:AWG524469 BGC524468:BGC524469 BPY524468:BPY524469 BZU524468:BZU524469 CJQ524468:CJQ524469 CTM524468:CTM524469 DDI524468:DDI524469 DNE524468:DNE524469 DXA524468:DXA524469 EGW524468:EGW524469 EQS524468:EQS524469 FAO524468:FAO524469 FKK524468:FKK524469 FUG524468:FUG524469 GEC524468:GEC524469 GNY524468:GNY524469 GXU524468:GXU524469 HHQ524468:HHQ524469 HRM524468:HRM524469 IBI524468:IBI524469 ILE524468:ILE524469 IVA524468:IVA524469 JEW524468:JEW524469 JOS524468:JOS524469 JYO524468:JYO524469 KIK524468:KIK524469 KSG524468:KSG524469 LCC524468:LCC524469 LLY524468:LLY524469 LVU524468:LVU524469 MFQ524468:MFQ524469 MPM524468:MPM524469 MZI524468:MZI524469 NJE524468:NJE524469 NTA524468:NTA524469 OCW524468:OCW524469 OMS524468:OMS524469 OWO524468:OWO524469 PGK524468:PGK524469 PQG524468:PQG524469 QAC524468:QAC524469 QJY524468:QJY524469 QTU524468:QTU524469 RDQ524468:RDQ524469 RNM524468:RNM524469 RXI524468:RXI524469 SHE524468:SHE524469 SRA524468:SRA524469 TAW524468:TAW524469 TKS524468:TKS524469 TUO524468:TUO524469 UEK524468:UEK524469 UOG524468:UOG524469 UYC524468:UYC524469 VHY524468:VHY524469 VRU524468:VRU524469 WBQ524468:WBQ524469 WLM524468:WLM524469 WVI524468:WVI524469 E590004:E590005 IW590004:IW590005 SS590004:SS590005 ACO590004:ACO590005 AMK590004:AMK590005 AWG590004:AWG590005 BGC590004:BGC590005 BPY590004:BPY590005 BZU590004:BZU590005 CJQ590004:CJQ590005 CTM590004:CTM590005 DDI590004:DDI590005 DNE590004:DNE590005 DXA590004:DXA590005 EGW590004:EGW590005 EQS590004:EQS590005 FAO590004:FAO590005 FKK590004:FKK590005 FUG590004:FUG590005 GEC590004:GEC590005 GNY590004:GNY590005 GXU590004:GXU590005 HHQ590004:HHQ590005 HRM590004:HRM590005 IBI590004:IBI590005 ILE590004:ILE590005 IVA590004:IVA590005 JEW590004:JEW590005 JOS590004:JOS590005 JYO590004:JYO590005 KIK590004:KIK590005 KSG590004:KSG590005 LCC590004:LCC590005 LLY590004:LLY590005 LVU590004:LVU590005 MFQ590004:MFQ590005 MPM590004:MPM590005 MZI590004:MZI590005 NJE590004:NJE590005 NTA590004:NTA590005 OCW590004:OCW590005 OMS590004:OMS590005 OWO590004:OWO590005 PGK590004:PGK590005 PQG590004:PQG590005 QAC590004:QAC590005 QJY590004:QJY590005 QTU590004:QTU590005 RDQ590004:RDQ590005 RNM590004:RNM590005 RXI590004:RXI590005 SHE590004:SHE590005 SRA590004:SRA590005 TAW590004:TAW590005 TKS590004:TKS590005 TUO590004:TUO590005 UEK590004:UEK590005 UOG590004:UOG590005 UYC590004:UYC590005 VHY590004:VHY590005 VRU590004:VRU590005 WBQ590004:WBQ590005 WLM590004:WLM590005 WVI590004:WVI590005 E655540:E655541 IW655540:IW655541 SS655540:SS655541 ACO655540:ACO655541 AMK655540:AMK655541 AWG655540:AWG655541 BGC655540:BGC655541 BPY655540:BPY655541 BZU655540:BZU655541 CJQ655540:CJQ655541 CTM655540:CTM655541 DDI655540:DDI655541 DNE655540:DNE655541 DXA655540:DXA655541 EGW655540:EGW655541 EQS655540:EQS655541 FAO655540:FAO655541 FKK655540:FKK655541 FUG655540:FUG655541 GEC655540:GEC655541 GNY655540:GNY655541 GXU655540:GXU655541 HHQ655540:HHQ655541 HRM655540:HRM655541 IBI655540:IBI655541 ILE655540:ILE655541 IVA655540:IVA655541 JEW655540:JEW655541 JOS655540:JOS655541 JYO655540:JYO655541 KIK655540:KIK655541 KSG655540:KSG655541 LCC655540:LCC655541 LLY655540:LLY655541 LVU655540:LVU655541 MFQ655540:MFQ655541 MPM655540:MPM655541 MZI655540:MZI655541 NJE655540:NJE655541 NTA655540:NTA655541 OCW655540:OCW655541 OMS655540:OMS655541 OWO655540:OWO655541 PGK655540:PGK655541 PQG655540:PQG655541 QAC655540:QAC655541 QJY655540:QJY655541 QTU655540:QTU655541 RDQ655540:RDQ655541 RNM655540:RNM655541 RXI655540:RXI655541 SHE655540:SHE655541 SRA655540:SRA655541 TAW655540:TAW655541 TKS655540:TKS655541 TUO655540:TUO655541 UEK655540:UEK655541 UOG655540:UOG655541 UYC655540:UYC655541 VHY655540:VHY655541 VRU655540:VRU655541 WBQ655540:WBQ655541 WLM655540:WLM655541 WVI655540:WVI655541 E721076:E721077 IW721076:IW721077 SS721076:SS721077 ACO721076:ACO721077 AMK721076:AMK721077 AWG721076:AWG721077 BGC721076:BGC721077 BPY721076:BPY721077 BZU721076:BZU721077 CJQ721076:CJQ721077 CTM721076:CTM721077 DDI721076:DDI721077 DNE721076:DNE721077 DXA721076:DXA721077 EGW721076:EGW721077 EQS721076:EQS721077 FAO721076:FAO721077 FKK721076:FKK721077 FUG721076:FUG721077 GEC721076:GEC721077 GNY721076:GNY721077 GXU721076:GXU721077 HHQ721076:HHQ721077 HRM721076:HRM721077 IBI721076:IBI721077 ILE721076:ILE721077 IVA721076:IVA721077 JEW721076:JEW721077 JOS721076:JOS721077 JYO721076:JYO721077 KIK721076:KIK721077 KSG721076:KSG721077 LCC721076:LCC721077 LLY721076:LLY721077 LVU721076:LVU721077 MFQ721076:MFQ721077 MPM721076:MPM721077 MZI721076:MZI721077 NJE721076:NJE721077 NTA721076:NTA721077 OCW721076:OCW721077 OMS721076:OMS721077 OWO721076:OWO721077 PGK721076:PGK721077 PQG721076:PQG721077 QAC721076:QAC721077 QJY721076:QJY721077 QTU721076:QTU721077 RDQ721076:RDQ721077 RNM721076:RNM721077 RXI721076:RXI721077 SHE721076:SHE721077 SRA721076:SRA721077 TAW721076:TAW721077 TKS721076:TKS721077 TUO721076:TUO721077 UEK721076:UEK721077 UOG721076:UOG721077 UYC721076:UYC721077 VHY721076:VHY721077 VRU721076:VRU721077 WBQ721076:WBQ721077 WLM721076:WLM721077 WVI721076:WVI721077 E786612:E786613 IW786612:IW786613 SS786612:SS786613 ACO786612:ACO786613 AMK786612:AMK786613 AWG786612:AWG786613 BGC786612:BGC786613 BPY786612:BPY786613 BZU786612:BZU786613 CJQ786612:CJQ786613 CTM786612:CTM786613 DDI786612:DDI786613 DNE786612:DNE786613 DXA786612:DXA786613 EGW786612:EGW786613 EQS786612:EQS786613 FAO786612:FAO786613 FKK786612:FKK786613 FUG786612:FUG786613 GEC786612:GEC786613 GNY786612:GNY786613 GXU786612:GXU786613 HHQ786612:HHQ786613 HRM786612:HRM786613 IBI786612:IBI786613 ILE786612:ILE786613 IVA786612:IVA786613 JEW786612:JEW786613 JOS786612:JOS786613 JYO786612:JYO786613 KIK786612:KIK786613 KSG786612:KSG786613 LCC786612:LCC786613 LLY786612:LLY786613 LVU786612:LVU786613 MFQ786612:MFQ786613 MPM786612:MPM786613 MZI786612:MZI786613 NJE786612:NJE786613 NTA786612:NTA786613 OCW786612:OCW786613 OMS786612:OMS786613 OWO786612:OWO786613 PGK786612:PGK786613 PQG786612:PQG786613 QAC786612:QAC786613 QJY786612:QJY786613 QTU786612:QTU786613 RDQ786612:RDQ786613 RNM786612:RNM786613 RXI786612:RXI786613 SHE786612:SHE786613 SRA786612:SRA786613 TAW786612:TAW786613 TKS786612:TKS786613 TUO786612:TUO786613 UEK786612:UEK786613 UOG786612:UOG786613 UYC786612:UYC786613 VHY786612:VHY786613 VRU786612:VRU786613 WBQ786612:WBQ786613 WLM786612:WLM786613 WVI786612:WVI786613 E852148:E852149 IW852148:IW852149 SS852148:SS852149 ACO852148:ACO852149 AMK852148:AMK852149 AWG852148:AWG852149 BGC852148:BGC852149 BPY852148:BPY852149 BZU852148:BZU852149 CJQ852148:CJQ852149 CTM852148:CTM852149 DDI852148:DDI852149 DNE852148:DNE852149 DXA852148:DXA852149 EGW852148:EGW852149 EQS852148:EQS852149 FAO852148:FAO852149 FKK852148:FKK852149 FUG852148:FUG852149 GEC852148:GEC852149 GNY852148:GNY852149 GXU852148:GXU852149 HHQ852148:HHQ852149 HRM852148:HRM852149 IBI852148:IBI852149 ILE852148:ILE852149 IVA852148:IVA852149 JEW852148:JEW852149 JOS852148:JOS852149 JYO852148:JYO852149 KIK852148:KIK852149 KSG852148:KSG852149 LCC852148:LCC852149 LLY852148:LLY852149 LVU852148:LVU852149 MFQ852148:MFQ852149 MPM852148:MPM852149 MZI852148:MZI852149 NJE852148:NJE852149 NTA852148:NTA852149 OCW852148:OCW852149 OMS852148:OMS852149 OWO852148:OWO852149 PGK852148:PGK852149 PQG852148:PQG852149 QAC852148:QAC852149 QJY852148:QJY852149 QTU852148:QTU852149 RDQ852148:RDQ852149 RNM852148:RNM852149 RXI852148:RXI852149 SHE852148:SHE852149 SRA852148:SRA852149 TAW852148:TAW852149 TKS852148:TKS852149 TUO852148:TUO852149 UEK852148:UEK852149 UOG852148:UOG852149 UYC852148:UYC852149 VHY852148:VHY852149 VRU852148:VRU852149 WBQ852148:WBQ852149 WLM852148:WLM852149 WVI852148:WVI852149 E917684:E917685 IW917684:IW917685 SS917684:SS917685 ACO917684:ACO917685 AMK917684:AMK917685 AWG917684:AWG917685 BGC917684:BGC917685 BPY917684:BPY917685 BZU917684:BZU917685 CJQ917684:CJQ917685 CTM917684:CTM917685 DDI917684:DDI917685 DNE917684:DNE917685 DXA917684:DXA917685 EGW917684:EGW917685 EQS917684:EQS917685 FAO917684:FAO917685 FKK917684:FKK917685 FUG917684:FUG917685 GEC917684:GEC917685 GNY917684:GNY917685 GXU917684:GXU917685 HHQ917684:HHQ917685 HRM917684:HRM917685 IBI917684:IBI917685 ILE917684:ILE917685 IVA917684:IVA917685 JEW917684:JEW917685 JOS917684:JOS917685 JYO917684:JYO917685 KIK917684:KIK917685 KSG917684:KSG917685 LCC917684:LCC917685 LLY917684:LLY917685 LVU917684:LVU917685 MFQ917684:MFQ917685 MPM917684:MPM917685 MZI917684:MZI917685 NJE917684:NJE917685 NTA917684:NTA917685 OCW917684:OCW917685 OMS917684:OMS917685 OWO917684:OWO917685 PGK917684:PGK917685 PQG917684:PQG917685 QAC917684:QAC917685 QJY917684:QJY917685 QTU917684:QTU917685 RDQ917684:RDQ917685 RNM917684:RNM917685 RXI917684:RXI917685 SHE917684:SHE917685 SRA917684:SRA917685 TAW917684:TAW917685 TKS917684:TKS917685 TUO917684:TUO917685 UEK917684:UEK917685 UOG917684:UOG917685 UYC917684:UYC917685 VHY917684:VHY917685 VRU917684:VRU917685 WBQ917684:WBQ917685 WLM917684:WLM917685 WVI917684:WVI917685 E983220:E983221 IW983220:IW983221 SS983220:SS983221 ACO983220:ACO983221 AMK983220:AMK983221 AWG983220:AWG983221 BGC983220:BGC983221 BPY983220:BPY983221 BZU983220:BZU983221 CJQ983220:CJQ983221 CTM983220:CTM983221 DDI983220:DDI983221 DNE983220:DNE983221 DXA983220:DXA983221 EGW983220:EGW983221 EQS983220:EQS983221 FAO983220:FAO983221 FKK983220:FKK983221 FUG983220:FUG983221 GEC983220:GEC983221 GNY983220:GNY983221 GXU983220:GXU983221 HHQ983220:HHQ983221 HRM983220:HRM983221 IBI983220:IBI983221 ILE983220:ILE983221 IVA983220:IVA983221 JEW983220:JEW983221 JOS983220:JOS983221 JYO983220:JYO983221 KIK983220:KIK983221 KSG983220:KSG983221 LCC983220:LCC983221 LLY983220:LLY983221 LVU983220:LVU983221 MFQ983220:MFQ983221 MPM983220:MPM983221 MZI983220:MZI983221 NJE983220:NJE983221 NTA983220:NTA983221 OCW983220:OCW983221 OMS983220:OMS983221 OWO983220:OWO983221 PGK983220:PGK983221 PQG983220:PQG983221 QAC983220:QAC983221 QJY983220:QJY983221 QTU983220:QTU983221 RDQ983220:RDQ983221 RNM983220:RNM983221 RXI983220:RXI983221 SHE983220:SHE983221 SRA983220:SRA983221 TAW983220:TAW983221 TKS983220:TKS983221 TUO983220:TUO983221 UEK983220:UEK983221 UOG983220:UOG983221 UYC983220:UYC983221 VHY983220:VHY983221 VRU983220:VRU983221 WBQ983220:WBQ983221 WLM983220:WLM983221 WVI983220:WVI983221 WVG983120:WVH983120 IU75:IV75 SQ75:SR75 ACM75:ACN75 AMI75:AMJ75 AWE75:AWF75 BGA75:BGB75 BPW75:BPX75 BZS75:BZT75 CJO75:CJP75 CTK75:CTL75 DDG75:DDH75 DNC75:DND75 DWY75:DWZ75 EGU75:EGV75 EQQ75:EQR75 FAM75:FAN75 FKI75:FKJ75 FUE75:FUF75 GEA75:GEB75 GNW75:GNX75 GXS75:GXT75 HHO75:HHP75 HRK75:HRL75 IBG75:IBH75 ILC75:ILD75 IUY75:IUZ75 JEU75:JEV75 JOQ75:JOR75 JYM75:JYN75 KII75:KIJ75 KSE75:KSF75 LCA75:LCB75 LLW75:LLX75 LVS75:LVT75 MFO75:MFP75 MPK75:MPL75 MZG75:MZH75 NJC75:NJD75 NSY75:NSZ75 OCU75:OCV75 OMQ75:OMR75 OWM75:OWN75 PGI75:PGJ75 PQE75:PQF75 QAA75:QAB75 QJW75:QJX75 QTS75:QTT75 RDO75:RDP75 RNK75:RNL75 RXG75:RXH75 SHC75:SHD75 SQY75:SQZ75 TAU75:TAV75 TKQ75:TKR75 TUM75:TUN75 UEI75:UEJ75 UOE75:UOF75 UYA75:UYB75 VHW75:VHX75 VRS75:VRT75 WBO75:WBP75 WLK75:WLL75 WVG75:WVH75 C65616:D65616 IU65616:IV65616 SQ65616:SR65616 ACM65616:ACN65616 AMI65616:AMJ65616 AWE65616:AWF65616 BGA65616:BGB65616 BPW65616:BPX65616 BZS65616:BZT65616 CJO65616:CJP65616 CTK65616:CTL65616 DDG65616:DDH65616 DNC65616:DND65616 DWY65616:DWZ65616 EGU65616:EGV65616 EQQ65616:EQR65616 FAM65616:FAN65616 FKI65616:FKJ65616 FUE65616:FUF65616 GEA65616:GEB65616 GNW65616:GNX65616 GXS65616:GXT65616 HHO65616:HHP65616 HRK65616:HRL65616 IBG65616:IBH65616 ILC65616:ILD65616 IUY65616:IUZ65616 JEU65616:JEV65616 JOQ65616:JOR65616 JYM65616:JYN65616 KII65616:KIJ65616 KSE65616:KSF65616 LCA65616:LCB65616 LLW65616:LLX65616 LVS65616:LVT65616 MFO65616:MFP65616 MPK65616:MPL65616 MZG65616:MZH65616 NJC65616:NJD65616 NSY65616:NSZ65616 OCU65616:OCV65616 OMQ65616:OMR65616 OWM65616:OWN65616 PGI65616:PGJ65616 PQE65616:PQF65616 QAA65616:QAB65616 QJW65616:QJX65616 QTS65616:QTT65616 RDO65616:RDP65616 RNK65616:RNL65616 RXG65616:RXH65616 SHC65616:SHD65616 SQY65616:SQZ65616 TAU65616:TAV65616 TKQ65616:TKR65616 TUM65616:TUN65616 UEI65616:UEJ65616 UOE65616:UOF65616 UYA65616:UYB65616 VHW65616:VHX65616 VRS65616:VRT65616 WBO65616:WBP65616 WLK65616:WLL65616 WVG65616:WVH65616 C131152:D131152 IU131152:IV131152 SQ131152:SR131152 ACM131152:ACN131152 AMI131152:AMJ131152 AWE131152:AWF131152 BGA131152:BGB131152 BPW131152:BPX131152 BZS131152:BZT131152 CJO131152:CJP131152 CTK131152:CTL131152 DDG131152:DDH131152 DNC131152:DND131152 DWY131152:DWZ131152 EGU131152:EGV131152 EQQ131152:EQR131152 FAM131152:FAN131152 FKI131152:FKJ131152 FUE131152:FUF131152 GEA131152:GEB131152 GNW131152:GNX131152 GXS131152:GXT131152 HHO131152:HHP131152 HRK131152:HRL131152 IBG131152:IBH131152 ILC131152:ILD131152 IUY131152:IUZ131152 JEU131152:JEV131152 JOQ131152:JOR131152 JYM131152:JYN131152 KII131152:KIJ131152 KSE131152:KSF131152 LCA131152:LCB131152 LLW131152:LLX131152 LVS131152:LVT131152 MFO131152:MFP131152 MPK131152:MPL131152 MZG131152:MZH131152 NJC131152:NJD131152 NSY131152:NSZ131152 OCU131152:OCV131152 OMQ131152:OMR131152 OWM131152:OWN131152 PGI131152:PGJ131152 PQE131152:PQF131152 QAA131152:QAB131152 QJW131152:QJX131152 QTS131152:QTT131152 RDO131152:RDP131152 RNK131152:RNL131152 RXG131152:RXH131152 SHC131152:SHD131152 SQY131152:SQZ131152 TAU131152:TAV131152 TKQ131152:TKR131152 TUM131152:TUN131152 UEI131152:UEJ131152 UOE131152:UOF131152 UYA131152:UYB131152 VHW131152:VHX131152 VRS131152:VRT131152 WBO131152:WBP131152 WLK131152:WLL131152 WVG131152:WVH131152 C196688:D196688 IU196688:IV196688 SQ196688:SR196688 ACM196688:ACN196688 AMI196688:AMJ196688 AWE196688:AWF196688 BGA196688:BGB196688 BPW196688:BPX196688 BZS196688:BZT196688 CJO196688:CJP196688 CTK196688:CTL196688 DDG196688:DDH196688 DNC196688:DND196688 DWY196688:DWZ196688 EGU196688:EGV196688 EQQ196688:EQR196688 FAM196688:FAN196688 FKI196688:FKJ196688 FUE196688:FUF196688 GEA196688:GEB196688 GNW196688:GNX196688 GXS196688:GXT196688 HHO196688:HHP196688 HRK196688:HRL196688 IBG196688:IBH196688 ILC196688:ILD196688 IUY196688:IUZ196688 JEU196688:JEV196688 JOQ196688:JOR196688 JYM196688:JYN196688 KII196688:KIJ196688 KSE196688:KSF196688 LCA196688:LCB196688 LLW196688:LLX196688 LVS196688:LVT196688 MFO196688:MFP196688 MPK196688:MPL196688 MZG196688:MZH196688 NJC196688:NJD196688 NSY196688:NSZ196688 OCU196688:OCV196688 OMQ196688:OMR196688 OWM196688:OWN196688 PGI196688:PGJ196688 PQE196688:PQF196688 QAA196688:QAB196688 QJW196688:QJX196688 QTS196688:QTT196688 RDO196688:RDP196688 RNK196688:RNL196688 RXG196688:RXH196688 SHC196688:SHD196688 SQY196688:SQZ196688 TAU196688:TAV196688 TKQ196688:TKR196688 TUM196688:TUN196688 UEI196688:UEJ196688 UOE196688:UOF196688 UYA196688:UYB196688 VHW196688:VHX196688 VRS196688:VRT196688 WBO196688:WBP196688 WLK196688:WLL196688 WVG196688:WVH196688 C262224:D262224 IU262224:IV262224 SQ262224:SR262224 ACM262224:ACN262224 AMI262224:AMJ262224 AWE262224:AWF262224 BGA262224:BGB262224 BPW262224:BPX262224 BZS262224:BZT262224 CJO262224:CJP262224 CTK262224:CTL262224 DDG262224:DDH262224 DNC262224:DND262224 DWY262224:DWZ262224 EGU262224:EGV262224 EQQ262224:EQR262224 FAM262224:FAN262224 FKI262224:FKJ262224 FUE262224:FUF262224 GEA262224:GEB262224 GNW262224:GNX262224 GXS262224:GXT262224 HHO262224:HHP262224 HRK262224:HRL262224 IBG262224:IBH262224 ILC262224:ILD262224 IUY262224:IUZ262224 JEU262224:JEV262224 JOQ262224:JOR262224 JYM262224:JYN262224 KII262224:KIJ262224 KSE262224:KSF262224 LCA262224:LCB262224 LLW262224:LLX262224 LVS262224:LVT262224 MFO262224:MFP262224 MPK262224:MPL262224 MZG262224:MZH262224 NJC262224:NJD262224 NSY262224:NSZ262224 OCU262224:OCV262224 OMQ262224:OMR262224 OWM262224:OWN262224 PGI262224:PGJ262224 PQE262224:PQF262224 QAA262224:QAB262224 QJW262224:QJX262224 QTS262224:QTT262224 RDO262224:RDP262224 RNK262224:RNL262224 RXG262224:RXH262224 SHC262224:SHD262224 SQY262224:SQZ262224 TAU262224:TAV262224 TKQ262224:TKR262224 TUM262224:TUN262224 UEI262224:UEJ262224 UOE262224:UOF262224 UYA262224:UYB262224 VHW262224:VHX262224 VRS262224:VRT262224 WBO262224:WBP262224 WLK262224:WLL262224 WVG262224:WVH262224 C327760:D327760 IU327760:IV327760 SQ327760:SR327760 ACM327760:ACN327760 AMI327760:AMJ327760 AWE327760:AWF327760 BGA327760:BGB327760 BPW327760:BPX327760 BZS327760:BZT327760 CJO327760:CJP327760 CTK327760:CTL327760 DDG327760:DDH327760 DNC327760:DND327760 DWY327760:DWZ327760 EGU327760:EGV327760 EQQ327760:EQR327760 FAM327760:FAN327760 FKI327760:FKJ327760 FUE327760:FUF327760 GEA327760:GEB327760 GNW327760:GNX327760 GXS327760:GXT327760 HHO327760:HHP327760 HRK327760:HRL327760 IBG327760:IBH327760 ILC327760:ILD327760 IUY327760:IUZ327760 JEU327760:JEV327760 JOQ327760:JOR327760 JYM327760:JYN327760 KII327760:KIJ327760 KSE327760:KSF327760 LCA327760:LCB327760 LLW327760:LLX327760 LVS327760:LVT327760 MFO327760:MFP327760 MPK327760:MPL327760 MZG327760:MZH327760 NJC327760:NJD327760 NSY327760:NSZ327760 OCU327760:OCV327760 OMQ327760:OMR327760 OWM327760:OWN327760 PGI327760:PGJ327760 PQE327760:PQF327760 QAA327760:QAB327760 QJW327760:QJX327760 QTS327760:QTT327760 RDO327760:RDP327760 RNK327760:RNL327760 RXG327760:RXH327760 SHC327760:SHD327760 SQY327760:SQZ327760 TAU327760:TAV327760 TKQ327760:TKR327760 TUM327760:TUN327760 UEI327760:UEJ327760 UOE327760:UOF327760 UYA327760:UYB327760 VHW327760:VHX327760 VRS327760:VRT327760 WBO327760:WBP327760 WLK327760:WLL327760 WVG327760:WVH327760 C393296:D393296 IU393296:IV393296 SQ393296:SR393296 ACM393296:ACN393296 AMI393296:AMJ393296 AWE393296:AWF393296 BGA393296:BGB393296 BPW393296:BPX393296 BZS393296:BZT393296 CJO393296:CJP393296 CTK393296:CTL393296 DDG393296:DDH393296 DNC393296:DND393296 DWY393296:DWZ393296 EGU393296:EGV393296 EQQ393296:EQR393296 FAM393296:FAN393296 FKI393296:FKJ393296 FUE393296:FUF393296 GEA393296:GEB393296 GNW393296:GNX393296 GXS393296:GXT393296 HHO393296:HHP393296 HRK393296:HRL393296 IBG393296:IBH393296 ILC393296:ILD393296 IUY393296:IUZ393296 JEU393296:JEV393296 JOQ393296:JOR393296 JYM393296:JYN393296 KII393296:KIJ393296 KSE393296:KSF393296 LCA393296:LCB393296 LLW393296:LLX393296 LVS393296:LVT393296 MFO393296:MFP393296 MPK393296:MPL393296 MZG393296:MZH393296 NJC393296:NJD393296 NSY393296:NSZ393296 OCU393296:OCV393296 OMQ393296:OMR393296 OWM393296:OWN393296 PGI393296:PGJ393296 PQE393296:PQF393296 QAA393296:QAB393296 QJW393296:QJX393296 QTS393296:QTT393296 RDO393296:RDP393296 RNK393296:RNL393296 RXG393296:RXH393296 SHC393296:SHD393296 SQY393296:SQZ393296 TAU393296:TAV393296 TKQ393296:TKR393296 TUM393296:TUN393296 UEI393296:UEJ393296 UOE393296:UOF393296 UYA393296:UYB393296 VHW393296:VHX393296 VRS393296:VRT393296 WBO393296:WBP393296 WLK393296:WLL393296 WVG393296:WVH393296 C458832:D458832 IU458832:IV458832 SQ458832:SR458832 ACM458832:ACN458832 AMI458832:AMJ458832 AWE458832:AWF458832 BGA458832:BGB458832 BPW458832:BPX458832 BZS458832:BZT458832 CJO458832:CJP458832 CTK458832:CTL458832 DDG458832:DDH458832 DNC458832:DND458832 DWY458832:DWZ458832 EGU458832:EGV458832 EQQ458832:EQR458832 FAM458832:FAN458832 FKI458832:FKJ458832 FUE458832:FUF458832 GEA458832:GEB458832 GNW458832:GNX458832 GXS458832:GXT458832 HHO458832:HHP458832 HRK458832:HRL458832 IBG458832:IBH458832 ILC458832:ILD458832 IUY458832:IUZ458832 JEU458832:JEV458832 JOQ458832:JOR458832 JYM458832:JYN458832 KII458832:KIJ458832 KSE458832:KSF458832 LCA458832:LCB458832 LLW458832:LLX458832 LVS458832:LVT458832 MFO458832:MFP458832 MPK458832:MPL458832 MZG458832:MZH458832 NJC458832:NJD458832 NSY458832:NSZ458832 OCU458832:OCV458832 OMQ458832:OMR458832 OWM458832:OWN458832 PGI458832:PGJ458832 PQE458832:PQF458832 QAA458832:QAB458832 QJW458832:QJX458832 QTS458832:QTT458832 RDO458832:RDP458832 RNK458832:RNL458832 RXG458832:RXH458832 SHC458832:SHD458832 SQY458832:SQZ458832 TAU458832:TAV458832 TKQ458832:TKR458832 TUM458832:TUN458832 UEI458832:UEJ458832 UOE458832:UOF458832 UYA458832:UYB458832 VHW458832:VHX458832 VRS458832:VRT458832 WBO458832:WBP458832 WLK458832:WLL458832 WVG458832:WVH458832 C524368:D524368 IU524368:IV524368 SQ524368:SR524368 ACM524368:ACN524368 AMI524368:AMJ524368 AWE524368:AWF524368 BGA524368:BGB524368 BPW524368:BPX524368 BZS524368:BZT524368 CJO524368:CJP524368 CTK524368:CTL524368 DDG524368:DDH524368 DNC524368:DND524368 DWY524368:DWZ524368 EGU524368:EGV524368 EQQ524368:EQR524368 FAM524368:FAN524368 FKI524368:FKJ524368 FUE524368:FUF524368 GEA524368:GEB524368 GNW524368:GNX524368 GXS524368:GXT524368 HHO524368:HHP524368 HRK524368:HRL524368 IBG524368:IBH524368 ILC524368:ILD524368 IUY524368:IUZ524368 JEU524368:JEV524368 JOQ524368:JOR524368 JYM524368:JYN524368 KII524368:KIJ524368 KSE524368:KSF524368 LCA524368:LCB524368 LLW524368:LLX524368 LVS524368:LVT524368 MFO524368:MFP524368 MPK524368:MPL524368 MZG524368:MZH524368 NJC524368:NJD524368 NSY524368:NSZ524368 OCU524368:OCV524368 OMQ524368:OMR524368 OWM524368:OWN524368 PGI524368:PGJ524368 PQE524368:PQF524368 QAA524368:QAB524368 QJW524368:QJX524368 QTS524368:QTT524368 RDO524368:RDP524368 RNK524368:RNL524368 RXG524368:RXH524368 SHC524368:SHD524368 SQY524368:SQZ524368 TAU524368:TAV524368 TKQ524368:TKR524368 TUM524368:TUN524368 UEI524368:UEJ524368 UOE524368:UOF524368 UYA524368:UYB524368 VHW524368:VHX524368 VRS524368:VRT524368 WBO524368:WBP524368 WLK524368:WLL524368 WVG524368:WVH524368 C589904:D589904 IU589904:IV589904 SQ589904:SR589904 ACM589904:ACN589904 AMI589904:AMJ589904 AWE589904:AWF589904 BGA589904:BGB589904 BPW589904:BPX589904 BZS589904:BZT589904 CJO589904:CJP589904 CTK589904:CTL589904 DDG589904:DDH589904 DNC589904:DND589904 DWY589904:DWZ589904 EGU589904:EGV589904 EQQ589904:EQR589904 FAM589904:FAN589904 FKI589904:FKJ589904 FUE589904:FUF589904 GEA589904:GEB589904 GNW589904:GNX589904 GXS589904:GXT589904 HHO589904:HHP589904 HRK589904:HRL589904 IBG589904:IBH589904 ILC589904:ILD589904 IUY589904:IUZ589904 JEU589904:JEV589904 JOQ589904:JOR589904 JYM589904:JYN589904 KII589904:KIJ589904 KSE589904:KSF589904 LCA589904:LCB589904 LLW589904:LLX589904 LVS589904:LVT589904 MFO589904:MFP589904 MPK589904:MPL589904 MZG589904:MZH589904 NJC589904:NJD589904 NSY589904:NSZ589904 OCU589904:OCV589904 OMQ589904:OMR589904 OWM589904:OWN589904 PGI589904:PGJ589904 PQE589904:PQF589904 QAA589904:QAB589904 QJW589904:QJX589904 QTS589904:QTT589904 RDO589904:RDP589904 RNK589904:RNL589904 RXG589904:RXH589904 SHC589904:SHD589904 SQY589904:SQZ589904 TAU589904:TAV589904 TKQ589904:TKR589904 TUM589904:TUN589904 UEI589904:UEJ589904 UOE589904:UOF589904 UYA589904:UYB589904 VHW589904:VHX589904 VRS589904:VRT589904 WBO589904:WBP589904 WLK589904:WLL589904 WVG589904:WVH589904 C655440:D655440 IU655440:IV655440 SQ655440:SR655440 ACM655440:ACN655440 AMI655440:AMJ655440 AWE655440:AWF655440 BGA655440:BGB655440 BPW655440:BPX655440 BZS655440:BZT655440 CJO655440:CJP655440 CTK655440:CTL655440 DDG655440:DDH655440 DNC655440:DND655440 DWY655440:DWZ655440 EGU655440:EGV655440 EQQ655440:EQR655440 FAM655440:FAN655440 FKI655440:FKJ655440 FUE655440:FUF655440 GEA655440:GEB655440 GNW655440:GNX655440 GXS655440:GXT655440 HHO655440:HHP655440 HRK655440:HRL655440 IBG655440:IBH655440 ILC655440:ILD655440 IUY655440:IUZ655440 JEU655440:JEV655440 JOQ655440:JOR655440 JYM655440:JYN655440 KII655440:KIJ655440 KSE655440:KSF655440 LCA655440:LCB655440 LLW655440:LLX655440 LVS655440:LVT655440 MFO655440:MFP655440 MPK655440:MPL655440 MZG655440:MZH655440 NJC655440:NJD655440 NSY655440:NSZ655440 OCU655440:OCV655440 OMQ655440:OMR655440 OWM655440:OWN655440 PGI655440:PGJ655440 PQE655440:PQF655440 QAA655440:QAB655440 QJW655440:QJX655440 QTS655440:QTT655440 RDO655440:RDP655440 RNK655440:RNL655440 RXG655440:RXH655440 SHC655440:SHD655440 SQY655440:SQZ655440 TAU655440:TAV655440 TKQ655440:TKR655440 TUM655440:TUN655440 UEI655440:UEJ655440 UOE655440:UOF655440 UYA655440:UYB655440 VHW655440:VHX655440 VRS655440:VRT655440 WBO655440:WBP655440 WLK655440:WLL655440 WVG655440:WVH655440 C720976:D720976 IU720976:IV720976 SQ720976:SR720976 ACM720976:ACN720976 AMI720976:AMJ720976 AWE720976:AWF720976 BGA720976:BGB720976 BPW720976:BPX720976 BZS720976:BZT720976 CJO720976:CJP720976 CTK720976:CTL720976 DDG720976:DDH720976 DNC720976:DND720976 DWY720976:DWZ720976 EGU720976:EGV720976 EQQ720976:EQR720976 FAM720976:FAN720976 FKI720976:FKJ720976 FUE720976:FUF720976 GEA720976:GEB720976 GNW720976:GNX720976 GXS720976:GXT720976 HHO720976:HHP720976 HRK720976:HRL720976 IBG720976:IBH720976 ILC720976:ILD720976 IUY720976:IUZ720976 JEU720976:JEV720976 JOQ720976:JOR720976 JYM720976:JYN720976 KII720976:KIJ720976 KSE720976:KSF720976 LCA720976:LCB720976 LLW720976:LLX720976 LVS720976:LVT720976 MFO720976:MFP720976 MPK720976:MPL720976 MZG720976:MZH720976 NJC720976:NJD720976 NSY720976:NSZ720976 OCU720976:OCV720976 OMQ720976:OMR720976 OWM720976:OWN720976 PGI720976:PGJ720976 PQE720976:PQF720976 QAA720976:QAB720976 QJW720976:QJX720976 QTS720976:QTT720976 RDO720976:RDP720976 RNK720976:RNL720976 RXG720976:RXH720976 SHC720976:SHD720976 SQY720976:SQZ720976 TAU720976:TAV720976 TKQ720976:TKR720976 TUM720976:TUN720976 UEI720976:UEJ720976 UOE720976:UOF720976 UYA720976:UYB720976 VHW720976:VHX720976 VRS720976:VRT720976 WBO720976:WBP720976 WLK720976:WLL720976 WVG720976:WVH720976 C786512:D786512 IU786512:IV786512 SQ786512:SR786512 ACM786512:ACN786512 AMI786512:AMJ786512 AWE786512:AWF786512 BGA786512:BGB786512 BPW786512:BPX786512 BZS786512:BZT786512 CJO786512:CJP786512 CTK786512:CTL786512 DDG786512:DDH786512 DNC786512:DND786512 DWY786512:DWZ786512 EGU786512:EGV786512 EQQ786512:EQR786512 FAM786512:FAN786512 FKI786512:FKJ786512 FUE786512:FUF786512 GEA786512:GEB786512 GNW786512:GNX786512 GXS786512:GXT786512 HHO786512:HHP786512 HRK786512:HRL786512 IBG786512:IBH786512 ILC786512:ILD786512 IUY786512:IUZ786512 JEU786512:JEV786512 JOQ786512:JOR786512 JYM786512:JYN786512 KII786512:KIJ786512 KSE786512:KSF786512 LCA786512:LCB786512 LLW786512:LLX786512 LVS786512:LVT786512 MFO786512:MFP786512 MPK786512:MPL786512 MZG786512:MZH786512 NJC786512:NJD786512 NSY786512:NSZ786512 OCU786512:OCV786512 OMQ786512:OMR786512 OWM786512:OWN786512 PGI786512:PGJ786512 PQE786512:PQF786512 QAA786512:QAB786512 QJW786512:QJX786512 QTS786512:QTT786512 RDO786512:RDP786512 RNK786512:RNL786512 RXG786512:RXH786512 SHC786512:SHD786512 SQY786512:SQZ786512 TAU786512:TAV786512 TKQ786512:TKR786512 TUM786512:TUN786512 UEI786512:UEJ786512 UOE786512:UOF786512 UYA786512:UYB786512 VHW786512:VHX786512 VRS786512:VRT786512 WBO786512:WBP786512 WLK786512:WLL786512 WVG786512:WVH786512 C852048:D852048 IU852048:IV852048 SQ852048:SR852048 ACM852048:ACN852048 AMI852048:AMJ852048 AWE852048:AWF852048 BGA852048:BGB852048 BPW852048:BPX852048 BZS852048:BZT852048 CJO852048:CJP852048 CTK852048:CTL852048 DDG852048:DDH852048 DNC852048:DND852048 DWY852048:DWZ852048 EGU852048:EGV852048 EQQ852048:EQR852048 FAM852048:FAN852048 FKI852048:FKJ852048 FUE852048:FUF852048 GEA852048:GEB852048 GNW852048:GNX852048 GXS852048:GXT852048 HHO852048:HHP852048 HRK852048:HRL852048 IBG852048:IBH852048 ILC852048:ILD852048 IUY852048:IUZ852048 JEU852048:JEV852048 JOQ852048:JOR852048 JYM852048:JYN852048 KII852048:KIJ852048 KSE852048:KSF852048 LCA852048:LCB852048 LLW852048:LLX852048 LVS852048:LVT852048 MFO852048:MFP852048 MPK852048:MPL852048 MZG852048:MZH852048 NJC852048:NJD852048 NSY852048:NSZ852048 OCU852048:OCV852048 OMQ852048:OMR852048 OWM852048:OWN852048 PGI852048:PGJ852048 PQE852048:PQF852048 QAA852048:QAB852048 QJW852048:QJX852048 QTS852048:QTT852048 RDO852048:RDP852048 RNK852048:RNL852048 RXG852048:RXH852048 SHC852048:SHD852048 SQY852048:SQZ852048 TAU852048:TAV852048 TKQ852048:TKR852048 TUM852048:TUN852048 UEI852048:UEJ852048 UOE852048:UOF852048 UYA852048:UYB852048 VHW852048:VHX852048 VRS852048:VRT852048 WBO852048:WBP852048 WLK852048:WLL852048 WVG852048:WVH852048 C917584:D917584 IU917584:IV917584 SQ917584:SR917584 ACM917584:ACN917584 AMI917584:AMJ917584 AWE917584:AWF917584 BGA917584:BGB917584 BPW917584:BPX917584 BZS917584:BZT917584 CJO917584:CJP917584 CTK917584:CTL917584 DDG917584:DDH917584 DNC917584:DND917584 DWY917584:DWZ917584 EGU917584:EGV917584 EQQ917584:EQR917584 FAM917584:FAN917584 FKI917584:FKJ917584 FUE917584:FUF917584 GEA917584:GEB917584 GNW917584:GNX917584 GXS917584:GXT917584 HHO917584:HHP917584 HRK917584:HRL917584 IBG917584:IBH917584 ILC917584:ILD917584 IUY917584:IUZ917584 JEU917584:JEV917584 JOQ917584:JOR917584 JYM917584:JYN917584 KII917584:KIJ917584 KSE917584:KSF917584 LCA917584:LCB917584 LLW917584:LLX917584 LVS917584:LVT917584 MFO917584:MFP917584 MPK917584:MPL917584 MZG917584:MZH917584 NJC917584:NJD917584 NSY917584:NSZ917584 OCU917584:OCV917584 OMQ917584:OMR917584 OWM917584:OWN917584 PGI917584:PGJ917584 PQE917584:PQF917584 QAA917584:QAB917584 QJW917584:QJX917584 QTS917584:QTT917584 RDO917584:RDP917584 RNK917584:RNL917584 RXG917584:RXH917584 SHC917584:SHD917584 SQY917584:SQZ917584 TAU917584:TAV917584 TKQ917584:TKR917584 TUM917584:TUN917584 UEI917584:UEJ917584 UOE917584:UOF917584 UYA917584:UYB917584 VHW917584:VHX917584 VRS917584:VRT917584 WBO917584:WBP917584 WLK917584:WLL917584 WVG917584:WVH917584 C983120:D983120 IU983120:IV983120 SQ983120:SR983120 ACM983120:ACN983120 AMI983120:AMJ983120 AWE983120:AWF983120 BGA983120:BGB983120 BPW983120:BPX983120 BZS983120:BZT983120 CJO983120:CJP983120 CTK983120:CTL983120 DDG983120:DDH983120 DNC983120:DND983120 DWY983120:DWZ983120 EGU983120:EGV983120 EQQ983120:EQR983120 FAM983120:FAN983120 FKI983120:FKJ983120 FUE983120:FUF983120 GEA983120:GEB983120 GNW983120:GNX983120 GXS983120:GXT983120 HHO983120:HHP983120 HRK983120:HRL983120 IBG983120:IBH983120 ILC983120:ILD983120 IUY983120:IUZ983120 JEU983120:JEV983120 JOQ983120:JOR983120 JYM983120:JYN983120 KII983120:KIJ983120 KSE983120:KSF983120 LCA983120:LCB983120 LLW983120:LLX983120 LVS983120:LVT983120 MFO983120:MFP983120 MPK983120:MPL983120 MZG983120:MZH983120 NJC983120:NJD983120 NSY983120:NSZ983120 OCU983120:OCV983120 OMQ983120:OMR983120 OWM983120:OWN983120 PGI983120:PGJ983120 PQE983120:PQF983120 QAA983120:QAB983120 QJW983120:QJX983120 QTS983120:QTT983120 RDO983120:RDP983120 RNK983120:RNL983120 RXG983120:RXH983120 SHC983120:SHD983120 SQY983120:SQZ983120 TAU983120:TAV983120 TKQ983120:TKR983120 TUM983120:TUN983120 UEI983120:UEJ983120 UOE983120:UOF983120 UYA983120:UYB983120 VHW983120:VHX983120 VRS983120:VRT983120 WBO983120:WBP983120 WLK983120:WLL983120 C75 WVH983065 WLL983065 WBP983065 VRT983065 VHX983065 UYB983065 UOF983065 UEJ983065 TUN983065 TKR983065 TAV983065 SQZ983065 SHD983065 RXH983065 RNL983065 RDP983065 QTT983065 QJX983065 QAB983065 PQF983065 PGJ983065 OWN983065 OMR983065 OCV983065 NSZ983065 NJD983065 MZH983065 MPL983065 MFP983065 LVT983065 LLX983065 LCB983065 KSF983065 KIJ983065 JYN983065 JOR983065 JEV983065 IUZ983065 ILD983065 IBH983065 HRL983065 HHP983065 GXT983065 GNX983065 GEB983065 FUF983065 FKJ983065 FAN983065 EQR983065 EGV983065 DWZ983065 DND983065 DDH983065 CTL983065 CJP983065 BZT983065 BPX983065 BGB983065 AWF983065 AMJ983065 ACN983065 SR983065 IV983065 D983065 WVH917529 WLL917529 WBP917529 VRT917529 VHX917529 UYB917529 UOF917529 UEJ917529 TUN917529 TKR917529 TAV917529 SQZ917529 SHD917529 RXH917529 RNL917529 RDP917529 QTT917529 QJX917529 QAB917529 PQF917529 PGJ917529 OWN917529 OMR917529 OCV917529 NSZ917529 NJD917529 MZH917529 MPL917529 MFP917529 LVT917529 LLX917529 LCB917529 KSF917529 KIJ917529 JYN917529 JOR917529 JEV917529 IUZ917529 ILD917529 IBH917529 HRL917529 HHP917529 GXT917529 GNX917529 GEB917529 FUF917529 FKJ917529 FAN917529 EQR917529 EGV917529 DWZ917529 DND917529 DDH917529 CTL917529 CJP917529 BZT917529 BPX917529 BGB917529 AWF917529 AMJ917529 ACN917529 SR917529 IV917529 D917529 WVH851993 WLL851993 WBP851993 VRT851993 VHX851993 UYB851993 UOF851993 UEJ851993 TUN851993 TKR851993 TAV851993 SQZ851993 SHD851993 RXH851993 RNL851993 RDP851993 QTT851993 QJX851993 QAB851993 PQF851993 PGJ851993 OWN851993 OMR851993 OCV851993 NSZ851993 NJD851993 MZH851993 MPL851993 MFP851993 LVT851993 LLX851993 LCB851993 KSF851993 KIJ851993 JYN851993 JOR851993 JEV851993 IUZ851993 ILD851993 IBH851993 HRL851993 HHP851993 GXT851993 GNX851993 GEB851993 FUF851993 FKJ851993 FAN851993 EQR851993 EGV851993 DWZ851993 DND851993 DDH851993 CTL851993 CJP851993 BZT851993 BPX851993 BGB851993 AWF851993 AMJ851993 ACN851993 SR851993 IV851993 D851993 WVH786457 WLL786457 WBP786457 VRT786457 VHX786457 UYB786457 UOF786457 UEJ786457 TUN786457 TKR786457 TAV786457 SQZ786457 SHD786457 RXH786457 RNL786457 RDP786457 QTT786457 QJX786457 QAB786457 PQF786457 PGJ786457 OWN786457 OMR786457 OCV786457 NSZ786457 NJD786457 MZH786457 MPL786457 MFP786457 LVT786457 LLX786457 LCB786457 KSF786457 KIJ786457 JYN786457 JOR786457 JEV786457 IUZ786457 ILD786457 IBH786457 HRL786457 HHP786457 GXT786457 GNX786457 GEB786457 FUF786457 FKJ786457 FAN786457 EQR786457 EGV786457 DWZ786457 DND786457 DDH786457 CTL786457 CJP786457 BZT786457 BPX786457 BGB786457 AWF786457 AMJ786457 ACN786457 SR786457 IV786457 D786457 WVH720921 WLL720921 WBP720921 VRT720921 VHX720921 UYB720921 UOF720921 UEJ720921 TUN720921 TKR720921 TAV720921 SQZ720921 SHD720921 RXH720921 RNL720921 RDP720921 QTT720921 QJX720921 QAB720921 PQF720921 PGJ720921 OWN720921 OMR720921 OCV720921 NSZ720921 NJD720921 MZH720921 MPL720921 MFP720921 LVT720921 LLX720921 LCB720921 KSF720921 KIJ720921 JYN720921 JOR720921 JEV720921 IUZ720921 ILD720921 IBH720921 HRL720921 HHP720921 GXT720921 GNX720921 GEB720921 FUF720921 FKJ720921 FAN720921 EQR720921 EGV720921 DWZ720921 DND720921 DDH720921 CTL720921 CJP720921 BZT720921 BPX720921 BGB720921 AWF720921 AMJ720921 ACN720921 SR720921 IV720921 D720921 WVH655385 WLL655385 WBP655385 VRT655385 VHX655385 UYB655385 UOF655385 UEJ655385 TUN655385 TKR655385 TAV655385 SQZ655385 SHD655385 RXH655385 RNL655385 RDP655385 QTT655385 QJX655385 QAB655385 PQF655385 PGJ655385 OWN655385 OMR655385 OCV655385 NSZ655385 NJD655385 MZH655385 MPL655385 MFP655385 LVT655385 LLX655385 LCB655385 KSF655385 KIJ655385 JYN655385 JOR655385 JEV655385 IUZ655385 ILD655385 IBH655385 HRL655385 HHP655385 GXT655385 GNX655385 GEB655385 FUF655385 FKJ655385 FAN655385 EQR655385 EGV655385 DWZ655385 DND655385 DDH655385 CTL655385 CJP655385 BZT655385 BPX655385 BGB655385 AWF655385 AMJ655385 ACN655385 SR655385 IV655385 D655385 WVH589849 WLL589849 WBP589849 VRT589849 VHX589849 UYB589849 UOF589849 UEJ589849 TUN589849 TKR589849 TAV589849 SQZ589849 SHD589849 RXH589849 RNL589849 RDP589849 QTT589849 QJX589849 QAB589849 PQF589849 PGJ589849 OWN589849 OMR589849 OCV589849 NSZ589849 NJD589849 MZH589849 MPL589849 MFP589849 LVT589849 LLX589849 LCB589849 KSF589849 KIJ589849 JYN589849 JOR589849 JEV589849 IUZ589849 ILD589849 IBH589849 HRL589849 HHP589849 GXT589849 GNX589849 GEB589849 FUF589849 FKJ589849 FAN589849 EQR589849 EGV589849 DWZ589849 DND589849 DDH589849 CTL589849 CJP589849 BZT589849 BPX589849 BGB589849 AWF589849 AMJ589849 ACN589849 SR589849 IV589849 D589849 WVH524313 WLL524313 WBP524313 VRT524313 VHX524313 UYB524313 UOF524313 UEJ524313 TUN524313 TKR524313 TAV524313 SQZ524313 SHD524313 RXH524313 RNL524313 RDP524313 QTT524313 QJX524313 QAB524313 PQF524313 PGJ524313 OWN524313 OMR524313 OCV524313 NSZ524313 NJD524313 MZH524313 MPL524313 MFP524313 LVT524313 LLX524313 LCB524313 KSF524313 KIJ524313 JYN524313 JOR524313 JEV524313 IUZ524313 ILD524313 IBH524313 HRL524313 HHP524313 GXT524313 GNX524313 GEB524313 FUF524313 FKJ524313 FAN524313 EQR524313 EGV524313 DWZ524313 DND524313 DDH524313 CTL524313 CJP524313 BZT524313 BPX524313 BGB524313 AWF524313 AMJ524313 ACN524313 SR524313 IV524313 D524313 WVH458777 WLL458777 WBP458777 VRT458777 VHX458777 UYB458777 UOF458777 UEJ458777 TUN458777 TKR458777 TAV458777 SQZ458777 SHD458777 RXH458777 RNL458777 RDP458777 QTT458777 QJX458777 QAB458777 PQF458777 PGJ458777 OWN458777 OMR458777 OCV458777 NSZ458777 NJD458777 MZH458777 MPL458777 MFP458777 LVT458777 LLX458777 LCB458777 KSF458777 KIJ458777 JYN458777 JOR458777 JEV458777 IUZ458777 ILD458777 IBH458777 HRL458777 HHP458777 GXT458777 GNX458777 GEB458777 FUF458777 FKJ458777 FAN458777 EQR458777 EGV458777 DWZ458777 DND458777 DDH458777 CTL458777 CJP458777 BZT458777 BPX458777 BGB458777 AWF458777 AMJ458777 ACN458777 SR458777 IV458777 D458777 WVH393241 WLL393241 WBP393241 VRT393241 VHX393241 UYB393241 UOF393241 UEJ393241 TUN393241 TKR393241 TAV393241 SQZ393241 SHD393241 RXH393241 RNL393241 RDP393241 QTT393241 QJX393241 QAB393241 PQF393241 PGJ393241 OWN393241 OMR393241 OCV393241 NSZ393241 NJD393241 MZH393241 MPL393241 MFP393241 LVT393241 LLX393241 LCB393241 KSF393241 KIJ393241 JYN393241 JOR393241 JEV393241 IUZ393241 ILD393241 IBH393241 HRL393241 HHP393241 GXT393241 GNX393241 GEB393241 FUF393241 FKJ393241 FAN393241 EQR393241 EGV393241 DWZ393241 DND393241 DDH393241 CTL393241 CJP393241 BZT393241 BPX393241 BGB393241 AWF393241 AMJ393241 ACN393241 SR393241 IV393241 D393241 WVH327705 WLL327705 WBP327705 VRT327705 VHX327705 UYB327705 UOF327705 UEJ327705 TUN327705 TKR327705 TAV327705 SQZ327705 SHD327705 RXH327705 RNL327705 RDP327705 QTT327705 QJX327705 QAB327705 PQF327705 PGJ327705 OWN327705 OMR327705 OCV327705 NSZ327705 NJD327705 MZH327705 MPL327705 MFP327705 LVT327705 LLX327705 LCB327705 KSF327705 KIJ327705 JYN327705 JOR327705 JEV327705 IUZ327705 ILD327705 IBH327705 HRL327705 HHP327705 GXT327705 GNX327705 GEB327705 FUF327705 FKJ327705 FAN327705 EQR327705 EGV327705 DWZ327705 DND327705 DDH327705 CTL327705 CJP327705 BZT327705 BPX327705 BGB327705 AWF327705 AMJ327705 ACN327705 SR327705 IV327705 D327705 WVH262169 WLL262169 WBP262169 VRT262169 VHX262169 UYB262169 UOF262169 UEJ262169 TUN262169 TKR262169 TAV262169 SQZ262169 SHD262169 RXH262169 RNL262169 RDP262169 QTT262169 QJX262169 QAB262169 PQF262169 PGJ262169 OWN262169 OMR262169 OCV262169 NSZ262169 NJD262169 MZH262169 MPL262169 MFP262169 LVT262169 LLX262169 LCB262169 KSF262169 KIJ262169 JYN262169 JOR262169 JEV262169 IUZ262169 ILD262169 IBH262169 HRL262169 HHP262169 GXT262169 GNX262169 GEB262169 FUF262169 FKJ262169 FAN262169 EQR262169 EGV262169 DWZ262169 DND262169 DDH262169 CTL262169 CJP262169 BZT262169 BPX262169 BGB262169 AWF262169 AMJ262169 ACN262169 SR262169 IV262169 D262169 WVH196633 WLL196633 WBP196633 VRT196633 VHX196633 UYB196633 UOF196633 UEJ196633 TUN196633 TKR196633 TAV196633 SQZ196633 SHD196633 RXH196633 RNL196633 RDP196633 QTT196633 QJX196633 QAB196633 PQF196633 PGJ196633 OWN196633 OMR196633 OCV196633 NSZ196633 NJD196633 MZH196633 MPL196633 MFP196633 LVT196633 LLX196633 LCB196633 KSF196633 KIJ196633 JYN196633 JOR196633 JEV196633 IUZ196633 ILD196633 IBH196633 HRL196633 HHP196633 GXT196633 GNX196633 GEB196633 FUF196633 FKJ196633 FAN196633 EQR196633 EGV196633 DWZ196633 DND196633 DDH196633 CTL196633 CJP196633 BZT196633 BPX196633 BGB196633 AWF196633 AMJ196633 ACN196633 SR196633 IV196633 D196633 WVH131097 WLL131097 WBP131097 VRT131097 VHX131097 UYB131097 UOF131097 UEJ131097 TUN131097 TKR131097 TAV131097 SQZ131097 SHD131097 RXH131097 RNL131097 RDP131097 QTT131097 QJX131097 QAB131097 PQF131097 PGJ131097 OWN131097 OMR131097 OCV131097 NSZ131097 NJD131097 MZH131097 MPL131097 MFP131097 LVT131097 LLX131097 LCB131097 KSF131097 KIJ131097 JYN131097 JOR131097 JEV131097 IUZ131097 ILD131097 IBH131097 HRL131097 HHP131097 GXT131097 GNX131097 GEB131097 FUF131097 FKJ131097 FAN131097 EQR131097 EGV131097 DWZ131097 DND131097 DDH131097 CTL131097 CJP131097 BZT131097 BPX131097 BGB131097 AWF131097 AMJ131097 ACN131097 SR131097 IV131097 D131097 WVH65561 WLL65561 WBP65561 VRT65561 VHX65561 UYB65561 UOF65561 UEJ65561 TUN65561 TKR65561 TAV65561 SQZ65561 SHD65561 RXH65561 RNL65561 RDP65561 QTT65561 QJX65561 QAB65561 PQF65561 PGJ65561 OWN65561 OMR65561 OCV65561 NSZ65561 NJD65561 MZH65561 MPL65561 MFP65561 LVT65561 LLX65561 LCB65561 KSF65561 KIJ65561 JYN65561 JOR65561 JEV65561 IUZ65561 ILD65561 IBH65561 HRL65561 HHP65561 GXT65561 GNX65561 GEB65561 FUF65561 FKJ65561 FAN65561 EQR65561 EGV65561 DWZ65561 DND65561 DDH65561 CTL65561 CJP65561 BZT65561 BPX65561 BGB65561 AWF65561 AMJ65561 ACN65561 SR65561 IV65561 D65561 WVH20 WLL20 WBP20 VRT20 VHX20 UYB20 UOF20 UEJ20 TUN20 TKR20 TAV20 SQZ20 SHD20 RXH20 RNL20 RDP20 QTT20 QJX20 QAB20 PQF20 PGJ20 OWN20 OMR20 OCV20 NSZ20 NJD20 MZH20 MPL20 MFP20 LVT20 LLX20 LCB20 KSF20 KIJ20 JYN20 JOR20 JEV20 IUZ20 ILD20 IBH20 HRL20 HHP20 GXT20 GNX20 GEB20 FUF20 FKJ20 FAN20 EQR20 EGV20 DWZ20 DND20 DDH20 CTL20 CJP20 BZT20 BPX20 BGB20 AWF20 AMJ20 ACN20 SR20 IV20 WVH983083 WLL983083 WBP983083 VRT983083 VHX983083 UYB983083 UOF983083 UEJ983083 TUN983083 TKR983083 TAV983083 SQZ983083 SHD983083 RXH983083 RNL983083 RDP983083 QTT983083 QJX983083 QAB983083 PQF983083 PGJ983083 OWN983083 OMR983083 OCV983083 NSZ983083 NJD983083 MZH983083 MPL983083 MFP983083 LVT983083 LLX983083 LCB983083 KSF983083 KIJ983083 JYN983083 JOR983083 JEV983083 IUZ983083 ILD983083 IBH983083 HRL983083 HHP983083 GXT983083 GNX983083 GEB983083 FUF983083 FKJ983083 FAN983083 EQR983083 EGV983083 DWZ983083 DND983083 DDH983083 CTL983083 CJP983083 BZT983083 BPX983083 BGB983083 AWF983083 AMJ983083 ACN983083 SR983083 IV983083 D983083 WVH917547 WLL917547 WBP917547 VRT917547 VHX917547 UYB917547 UOF917547 UEJ917547 TUN917547 TKR917547 TAV917547 SQZ917547 SHD917547 RXH917547 RNL917547 RDP917547 QTT917547 QJX917547 QAB917547 PQF917547 PGJ917547 OWN917547 OMR917547 OCV917547 NSZ917547 NJD917547 MZH917547 MPL917547 MFP917547 LVT917547 LLX917547 LCB917547 KSF917547 KIJ917547 JYN917547 JOR917547 JEV917547 IUZ917547 ILD917547 IBH917547 HRL917547 HHP917547 GXT917547 GNX917547 GEB917547 FUF917547 FKJ917547 FAN917547 EQR917547 EGV917547 DWZ917547 DND917547 DDH917547 CTL917547 CJP917547 BZT917547 BPX917547 BGB917547 AWF917547 AMJ917547 ACN917547 SR917547 IV917547 D917547 WVH852011 WLL852011 WBP852011 VRT852011 VHX852011 UYB852011 UOF852011 UEJ852011 TUN852011 TKR852011 TAV852011 SQZ852011 SHD852011 RXH852011 RNL852011 RDP852011 QTT852011 QJX852011 QAB852011 PQF852011 PGJ852011 OWN852011 OMR852011 OCV852011 NSZ852011 NJD852011 MZH852011 MPL852011 MFP852011 LVT852011 LLX852011 LCB852011 KSF852011 KIJ852011 JYN852011 JOR852011 JEV852011 IUZ852011 ILD852011 IBH852011 HRL852011 HHP852011 GXT852011 GNX852011 GEB852011 FUF852011 FKJ852011 FAN852011 EQR852011 EGV852011 DWZ852011 DND852011 DDH852011 CTL852011 CJP852011 BZT852011 BPX852011 BGB852011 AWF852011 AMJ852011 ACN852011 SR852011 IV852011 D852011 WVH786475 WLL786475 WBP786475 VRT786475 VHX786475 UYB786475 UOF786475 UEJ786475 TUN786475 TKR786475 TAV786475 SQZ786475 SHD786475 RXH786475 RNL786475 RDP786475 QTT786475 QJX786475 QAB786475 PQF786475 PGJ786475 OWN786475 OMR786475 OCV786475 NSZ786475 NJD786475 MZH786475 MPL786475 MFP786475 LVT786475 LLX786475 LCB786475 KSF786475 KIJ786475 JYN786475 JOR786475 JEV786475 IUZ786475 ILD786475 IBH786475 HRL786475 HHP786475 GXT786475 GNX786475 GEB786475 FUF786475 FKJ786475 FAN786475 EQR786475 EGV786475 DWZ786475 DND786475 DDH786475 CTL786475 CJP786475 BZT786475 BPX786475 BGB786475 AWF786475 AMJ786475 ACN786475 SR786475 IV786475 D786475 WVH720939 WLL720939 WBP720939 VRT720939 VHX720939 UYB720939 UOF720939 UEJ720939 TUN720939 TKR720939 TAV720939 SQZ720939 SHD720939 RXH720939 RNL720939 RDP720939 QTT720939 QJX720939 QAB720939 PQF720939 PGJ720939 OWN720939 OMR720939 OCV720939 NSZ720939 NJD720939 MZH720939 MPL720939 MFP720939 LVT720939 LLX720939 LCB720939 KSF720939 KIJ720939 JYN720939 JOR720939 JEV720939 IUZ720939 ILD720939 IBH720939 HRL720939 HHP720939 GXT720939 GNX720939 GEB720939 FUF720939 FKJ720939 FAN720939 EQR720939 EGV720939 DWZ720939 DND720939 DDH720939 CTL720939 CJP720939 BZT720939 BPX720939 BGB720939 AWF720939 AMJ720939 ACN720939 SR720939 IV720939 D720939 WVH655403 WLL655403 WBP655403 VRT655403 VHX655403 UYB655403 UOF655403 UEJ655403 TUN655403 TKR655403 TAV655403 SQZ655403 SHD655403 RXH655403 RNL655403 RDP655403 QTT655403 QJX655403 QAB655403 PQF655403 PGJ655403 OWN655403 OMR655403 OCV655403 NSZ655403 NJD655403 MZH655403 MPL655403 MFP655403 LVT655403 LLX655403 LCB655403 KSF655403 KIJ655403 JYN655403 JOR655403 JEV655403 IUZ655403 ILD655403 IBH655403 HRL655403 HHP655403 GXT655403 GNX655403 GEB655403 FUF655403 FKJ655403 FAN655403 EQR655403 EGV655403 DWZ655403 DND655403 DDH655403 CTL655403 CJP655403 BZT655403 BPX655403 BGB655403 AWF655403 AMJ655403 ACN655403 SR655403 IV655403 D655403 WVH589867 WLL589867 WBP589867 VRT589867 VHX589867 UYB589867 UOF589867 UEJ589867 TUN589867 TKR589867 TAV589867 SQZ589867 SHD589867 RXH589867 RNL589867 RDP589867 QTT589867 QJX589867 QAB589867 PQF589867 PGJ589867 OWN589867 OMR589867 OCV589867 NSZ589867 NJD589867 MZH589867 MPL589867 MFP589867 LVT589867 LLX589867 LCB589867 KSF589867 KIJ589867 JYN589867 JOR589867 JEV589867 IUZ589867 ILD589867 IBH589867 HRL589867 HHP589867 GXT589867 GNX589867 GEB589867 FUF589867 FKJ589867 FAN589867 EQR589867 EGV589867 DWZ589867 DND589867 DDH589867 CTL589867 CJP589867 BZT589867 BPX589867 BGB589867 AWF589867 AMJ589867 ACN589867 SR589867 IV589867 D589867 WVH524331 WLL524331 WBP524331 VRT524331 VHX524331 UYB524331 UOF524331 UEJ524331 TUN524331 TKR524331 TAV524331 SQZ524331 SHD524331 RXH524331 RNL524331 RDP524331 QTT524331 QJX524331 QAB524331 PQF524331 PGJ524331 OWN524331 OMR524331 OCV524331 NSZ524331 NJD524331 MZH524331 MPL524331 MFP524331 LVT524331 LLX524331 LCB524331 KSF524331 KIJ524331 JYN524331 JOR524331 JEV524331 IUZ524331 ILD524331 IBH524331 HRL524331 HHP524331 GXT524331 GNX524331 GEB524331 FUF524331 FKJ524331 FAN524331 EQR524331 EGV524331 DWZ524331 DND524331 DDH524331 CTL524331 CJP524331 BZT524331 BPX524331 BGB524331 AWF524331 AMJ524331 ACN524331 SR524331 IV524331 D524331 WVH458795 WLL458795 WBP458795 VRT458795 VHX458795 UYB458795 UOF458795 UEJ458795 TUN458795 TKR458795 TAV458795 SQZ458795 SHD458795 RXH458795 RNL458795 RDP458795 QTT458795 QJX458795 QAB458795 PQF458795 PGJ458795 OWN458795 OMR458795 OCV458795 NSZ458795 NJD458795 MZH458795 MPL458795 MFP458795 LVT458795 LLX458795 LCB458795 KSF458795 KIJ458795 JYN458795 JOR458795 JEV458795 IUZ458795 ILD458795 IBH458795 HRL458795 HHP458795 GXT458795 GNX458795 GEB458795 FUF458795 FKJ458795 FAN458795 EQR458795 EGV458795 DWZ458795 DND458795 DDH458795 CTL458795 CJP458795 BZT458795 BPX458795 BGB458795 AWF458795 AMJ458795 ACN458795 SR458795 IV458795 D458795 WVH393259 WLL393259 WBP393259 VRT393259 VHX393259 UYB393259 UOF393259 UEJ393259 TUN393259 TKR393259 TAV393259 SQZ393259 SHD393259 RXH393259 RNL393259 RDP393259 QTT393259 QJX393259 QAB393259 PQF393259 PGJ393259 OWN393259 OMR393259 OCV393259 NSZ393259 NJD393259 MZH393259 MPL393259 MFP393259 LVT393259 LLX393259 LCB393259 KSF393259 KIJ393259 JYN393259 JOR393259 JEV393259 IUZ393259 ILD393259 IBH393259 HRL393259 HHP393259 GXT393259 GNX393259 GEB393259 FUF393259 FKJ393259 FAN393259 EQR393259 EGV393259 DWZ393259 DND393259 DDH393259 CTL393259 CJP393259 BZT393259 BPX393259 BGB393259 AWF393259 AMJ393259 ACN393259 SR393259 IV393259 D393259 WVH327723 WLL327723 WBP327723 VRT327723 VHX327723 UYB327723 UOF327723 UEJ327723 TUN327723 TKR327723 TAV327723 SQZ327723 SHD327723 RXH327723 RNL327723 RDP327723 QTT327723 QJX327723 QAB327723 PQF327723 PGJ327723 OWN327723 OMR327723 OCV327723 NSZ327723 NJD327723 MZH327723 MPL327723 MFP327723 LVT327723 LLX327723 LCB327723 KSF327723 KIJ327723 JYN327723 JOR327723 JEV327723 IUZ327723 ILD327723 IBH327723 HRL327723 HHP327723 GXT327723 GNX327723 GEB327723 FUF327723 FKJ327723 FAN327723 EQR327723 EGV327723 DWZ327723 DND327723 DDH327723 CTL327723 CJP327723 BZT327723 BPX327723 BGB327723 AWF327723 AMJ327723 ACN327723 SR327723 IV327723 D327723 WVH262187 WLL262187 WBP262187 VRT262187 VHX262187 UYB262187 UOF262187 UEJ262187 TUN262187 TKR262187 TAV262187 SQZ262187 SHD262187 RXH262187 RNL262187 RDP262187 QTT262187 QJX262187 QAB262187 PQF262187 PGJ262187 OWN262187 OMR262187 OCV262187 NSZ262187 NJD262187 MZH262187 MPL262187 MFP262187 LVT262187 LLX262187 LCB262187 KSF262187 KIJ262187 JYN262187 JOR262187 JEV262187 IUZ262187 ILD262187 IBH262187 HRL262187 HHP262187 GXT262187 GNX262187 GEB262187 FUF262187 FKJ262187 FAN262187 EQR262187 EGV262187 DWZ262187 DND262187 DDH262187 CTL262187 CJP262187 BZT262187 BPX262187 BGB262187 AWF262187 AMJ262187 ACN262187 SR262187 IV262187 D262187 WVH196651 WLL196651 WBP196651 VRT196651 VHX196651 UYB196651 UOF196651 UEJ196651 TUN196651 TKR196651 TAV196651 SQZ196651 SHD196651 RXH196651 RNL196651 RDP196651 QTT196651 QJX196651 QAB196651 PQF196651 PGJ196651 OWN196651 OMR196651 OCV196651 NSZ196651 NJD196651 MZH196651 MPL196651 MFP196651 LVT196651 LLX196651 LCB196651 KSF196651 KIJ196651 JYN196651 JOR196651 JEV196651 IUZ196651 ILD196651 IBH196651 HRL196651 HHP196651 GXT196651 GNX196651 GEB196651 FUF196651 FKJ196651 FAN196651 EQR196651 EGV196651 DWZ196651 DND196651 DDH196651 CTL196651 CJP196651 BZT196651 BPX196651 BGB196651 AWF196651 AMJ196651 ACN196651 SR196651 IV196651 D196651 WVH131115 WLL131115 WBP131115 VRT131115 VHX131115 UYB131115 UOF131115 UEJ131115 TUN131115 TKR131115 TAV131115 SQZ131115 SHD131115 RXH131115 RNL131115 RDP131115 QTT131115 QJX131115 QAB131115 PQF131115 PGJ131115 OWN131115 OMR131115 OCV131115 NSZ131115 NJD131115 MZH131115 MPL131115 MFP131115 LVT131115 LLX131115 LCB131115 KSF131115 KIJ131115 JYN131115 JOR131115 JEV131115 IUZ131115 ILD131115 IBH131115 HRL131115 HHP131115 GXT131115 GNX131115 GEB131115 FUF131115 FKJ131115 FAN131115 EQR131115 EGV131115 DWZ131115 DND131115 DDH131115 CTL131115 CJP131115 BZT131115 BPX131115 BGB131115 AWF131115 AMJ131115 ACN131115 SR131115 IV131115 D131115 WVH65579 WLL65579 WBP65579 VRT65579 VHX65579 UYB65579 UOF65579 UEJ65579 TUN65579 TKR65579 TAV65579 SQZ65579 SHD65579 RXH65579 RNL65579 RDP65579 QTT65579 QJX65579 QAB65579 PQF65579 PGJ65579 OWN65579 OMR65579 OCV65579 NSZ65579 NJD65579 MZH65579 MPL65579 MFP65579 LVT65579 LLX65579 LCB65579 KSF65579 KIJ65579 JYN65579 JOR65579 JEV65579 IUZ65579 ILD65579 IBH65579 HRL65579 HHP65579 GXT65579 GNX65579 GEB65579 FUF65579 FKJ65579 FAN65579 EQR65579 EGV65579 DWZ65579 DND65579 DDH65579 CTL65579 CJP65579 BZT65579 BPX65579 BGB65579 AWF65579 AMJ65579 ACN65579 SR65579 IV65579 D65579 WVH38 WLL38 WBP38 VRT38 VHX38 UYB38 UOF38 UEJ38 TUN38 TKR38 TAV38 SQZ38 SHD38 RXH38 RNL38 RDP38 QTT38 QJX38 QAB38 PQF38 PGJ38 OWN38 OMR38 OCV38 NSZ38 NJD38 MZH38 MPL38 MFP38 LVT38 LLX38 LCB38 KSF38 KIJ38 JYN38 JOR38 JEV38 IUZ38 ILD38 IBH38 HRL38 HHP38 GXT38 GNX38 GEB38 FUF38 FKJ38 FAN38 EQR38 EGV38 DWZ38 DND38 DDH38 CTL38 CJP38 BZT38 BPX38 BGB38 AWF38 AMJ38 ACN38 SR38 IV38 WVH983098 WLL983098 WBP983098 VRT983098 VHX983098 UYB983098 UOF983098 UEJ983098 TUN983098 TKR983098 TAV983098 SQZ983098 SHD983098 RXH983098 RNL983098 RDP983098 QTT983098 QJX983098 QAB983098 PQF983098 PGJ983098 OWN983098 OMR983098 OCV983098 NSZ983098 NJD983098 MZH983098 MPL983098 MFP983098 LVT983098 LLX983098 LCB983098 KSF983098 KIJ983098 JYN983098 JOR983098 JEV983098 IUZ983098 ILD983098 IBH983098 HRL983098 HHP983098 GXT983098 GNX983098 GEB983098 FUF983098 FKJ983098 FAN983098 EQR983098 EGV983098 DWZ983098 DND983098 DDH983098 CTL983098 CJP983098 BZT983098 BPX983098 BGB983098 AWF983098 AMJ983098 ACN983098 SR983098 IV983098 D983098 WVH917562 WLL917562 WBP917562 VRT917562 VHX917562 UYB917562 UOF917562 UEJ917562 TUN917562 TKR917562 TAV917562 SQZ917562 SHD917562 RXH917562 RNL917562 RDP917562 QTT917562 QJX917562 QAB917562 PQF917562 PGJ917562 OWN917562 OMR917562 OCV917562 NSZ917562 NJD917562 MZH917562 MPL917562 MFP917562 LVT917562 LLX917562 LCB917562 KSF917562 KIJ917562 JYN917562 JOR917562 JEV917562 IUZ917562 ILD917562 IBH917562 HRL917562 HHP917562 GXT917562 GNX917562 GEB917562 FUF917562 FKJ917562 FAN917562 EQR917562 EGV917562 DWZ917562 DND917562 DDH917562 CTL917562 CJP917562 BZT917562 BPX917562 BGB917562 AWF917562 AMJ917562 ACN917562 SR917562 IV917562 D917562 WVH852026 WLL852026 WBP852026 VRT852026 VHX852026 UYB852026 UOF852026 UEJ852026 TUN852026 TKR852026 TAV852026 SQZ852026 SHD852026 RXH852026 RNL852026 RDP852026 QTT852026 QJX852026 QAB852026 PQF852026 PGJ852026 OWN852026 OMR852026 OCV852026 NSZ852026 NJD852026 MZH852026 MPL852026 MFP852026 LVT852026 LLX852026 LCB852026 KSF852026 KIJ852026 JYN852026 JOR852026 JEV852026 IUZ852026 ILD852026 IBH852026 HRL852026 HHP852026 GXT852026 GNX852026 GEB852026 FUF852026 FKJ852026 FAN852026 EQR852026 EGV852026 DWZ852026 DND852026 DDH852026 CTL852026 CJP852026 BZT852026 BPX852026 BGB852026 AWF852026 AMJ852026 ACN852026 SR852026 IV852026 D852026 WVH786490 WLL786490 WBP786490 VRT786490 VHX786490 UYB786490 UOF786490 UEJ786490 TUN786490 TKR786490 TAV786490 SQZ786490 SHD786490 RXH786490 RNL786490 RDP786490 QTT786490 QJX786490 QAB786490 PQF786490 PGJ786490 OWN786490 OMR786490 OCV786490 NSZ786490 NJD786490 MZH786490 MPL786490 MFP786490 LVT786490 LLX786490 LCB786490 KSF786490 KIJ786490 JYN786490 JOR786490 JEV786490 IUZ786490 ILD786490 IBH786490 HRL786490 HHP786490 GXT786490 GNX786490 GEB786490 FUF786490 FKJ786490 FAN786490 EQR786490 EGV786490 DWZ786490 DND786490 DDH786490 CTL786490 CJP786490 BZT786490 BPX786490 BGB786490 AWF786490 AMJ786490 ACN786490 SR786490 IV786490 D786490 WVH720954 WLL720954 WBP720954 VRT720954 VHX720954 UYB720954 UOF720954 UEJ720954 TUN720954 TKR720954 TAV720954 SQZ720954 SHD720954 RXH720954 RNL720954 RDP720954 QTT720954 QJX720954 QAB720954 PQF720954 PGJ720954 OWN720954 OMR720954 OCV720954 NSZ720954 NJD720954 MZH720954 MPL720954 MFP720954 LVT720954 LLX720954 LCB720954 KSF720954 KIJ720954 JYN720954 JOR720954 JEV720954 IUZ720954 ILD720954 IBH720954 HRL720954 HHP720954 GXT720954 GNX720954 GEB720954 FUF720954 FKJ720954 FAN720954 EQR720954 EGV720954 DWZ720954 DND720954 DDH720954 CTL720954 CJP720954 BZT720954 BPX720954 BGB720954 AWF720954 AMJ720954 ACN720954 SR720954 IV720954 D720954 WVH655418 WLL655418 WBP655418 VRT655418 VHX655418 UYB655418 UOF655418 UEJ655418 TUN655418 TKR655418 TAV655418 SQZ655418 SHD655418 RXH655418 RNL655418 RDP655418 QTT655418 QJX655418 QAB655418 PQF655418 PGJ655418 OWN655418 OMR655418 OCV655418 NSZ655418 NJD655418 MZH655418 MPL655418 MFP655418 LVT655418 LLX655418 LCB655418 KSF655418 KIJ655418 JYN655418 JOR655418 JEV655418 IUZ655418 ILD655418 IBH655418 HRL655418 HHP655418 GXT655418 GNX655418 GEB655418 FUF655418 FKJ655418 FAN655418 EQR655418 EGV655418 DWZ655418 DND655418 DDH655418 CTL655418 CJP655418 BZT655418 BPX655418 BGB655418 AWF655418 AMJ655418 ACN655418 SR655418 IV655418 D655418 WVH589882 WLL589882 WBP589882 VRT589882 VHX589882 UYB589882 UOF589882 UEJ589882 TUN589882 TKR589882 TAV589882 SQZ589882 SHD589882 RXH589882 RNL589882 RDP589882 QTT589882 QJX589882 QAB589882 PQF589882 PGJ589882 OWN589882 OMR589882 OCV589882 NSZ589882 NJD589882 MZH589882 MPL589882 MFP589882 LVT589882 LLX589882 LCB589882 KSF589882 KIJ589882 JYN589882 JOR589882 JEV589882 IUZ589882 ILD589882 IBH589882 HRL589882 HHP589882 GXT589882 GNX589882 GEB589882 FUF589882 FKJ589882 FAN589882 EQR589882 EGV589882 DWZ589882 DND589882 DDH589882 CTL589882 CJP589882 BZT589882 BPX589882 BGB589882 AWF589882 AMJ589882 ACN589882 SR589882 IV589882 D589882 WVH524346 WLL524346 WBP524346 VRT524346 VHX524346 UYB524346 UOF524346 UEJ524346 TUN524346 TKR524346 TAV524346 SQZ524346 SHD524346 RXH524346 RNL524346 RDP524346 QTT524346 QJX524346 QAB524346 PQF524346 PGJ524346 OWN524346 OMR524346 OCV524346 NSZ524346 NJD524346 MZH524346 MPL524346 MFP524346 LVT524346 LLX524346 LCB524346 KSF524346 KIJ524346 JYN524346 JOR524346 JEV524346 IUZ524346 ILD524346 IBH524346 HRL524346 HHP524346 GXT524346 GNX524346 GEB524346 FUF524346 FKJ524346 FAN524346 EQR524346 EGV524346 DWZ524346 DND524346 DDH524346 CTL524346 CJP524346 BZT524346 BPX524346 BGB524346 AWF524346 AMJ524346 ACN524346 SR524346 IV524346 D524346 WVH458810 WLL458810 WBP458810 VRT458810 VHX458810 UYB458810 UOF458810 UEJ458810 TUN458810 TKR458810 TAV458810 SQZ458810 SHD458810 RXH458810 RNL458810 RDP458810 QTT458810 QJX458810 QAB458810 PQF458810 PGJ458810 OWN458810 OMR458810 OCV458810 NSZ458810 NJD458810 MZH458810 MPL458810 MFP458810 LVT458810 LLX458810 LCB458810 KSF458810 KIJ458810 JYN458810 JOR458810 JEV458810 IUZ458810 ILD458810 IBH458810 HRL458810 HHP458810 GXT458810 GNX458810 GEB458810 FUF458810 FKJ458810 FAN458810 EQR458810 EGV458810 DWZ458810 DND458810 DDH458810 CTL458810 CJP458810 BZT458810 BPX458810 BGB458810 AWF458810 AMJ458810 ACN458810 SR458810 IV458810 D458810 WVH393274 WLL393274 WBP393274 VRT393274 VHX393274 UYB393274 UOF393274 UEJ393274 TUN393274 TKR393274 TAV393274 SQZ393274 SHD393274 RXH393274 RNL393274 RDP393274 QTT393274 QJX393274 QAB393274 PQF393274 PGJ393274 OWN393274 OMR393274 OCV393274 NSZ393274 NJD393274 MZH393274 MPL393274 MFP393274 LVT393274 LLX393274 LCB393274 KSF393274 KIJ393274 JYN393274 JOR393274 JEV393274 IUZ393274 ILD393274 IBH393274 HRL393274 HHP393274 GXT393274 GNX393274 GEB393274 FUF393274 FKJ393274 FAN393274 EQR393274 EGV393274 DWZ393274 DND393274 DDH393274 CTL393274 CJP393274 BZT393274 BPX393274 BGB393274 AWF393274 AMJ393274 ACN393274 SR393274 IV393274 D393274 WVH327738 WLL327738 WBP327738 VRT327738 VHX327738 UYB327738 UOF327738 UEJ327738 TUN327738 TKR327738 TAV327738 SQZ327738 SHD327738 RXH327738 RNL327738 RDP327738 QTT327738 QJX327738 QAB327738 PQF327738 PGJ327738 OWN327738 OMR327738 OCV327738 NSZ327738 NJD327738 MZH327738 MPL327738 MFP327738 LVT327738 LLX327738 LCB327738 KSF327738 KIJ327738 JYN327738 JOR327738 JEV327738 IUZ327738 ILD327738 IBH327738 HRL327738 HHP327738 GXT327738 GNX327738 GEB327738 FUF327738 FKJ327738 FAN327738 EQR327738 EGV327738 DWZ327738 DND327738 DDH327738 CTL327738 CJP327738 BZT327738 BPX327738 BGB327738 AWF327738 AMJ327738 ACN327738 SR327738 IV327738 D327738 WVH262202 WLL262202 WBP262202 VRT262202 VHX262202 UYB262202 UOF262202 UEJ262202 TUN262202 TKR262202 TAV262202 SQZ262202 SHD262202 RXH262202 RNL262202 RDP262202 QTT262202 QJX262202 QAB262202 PQF262202 PGJ262202 OWN262202 OMR262202 OCV262202 NSZ262202 NJD262202 MZH262202 MPL262202 MFP262202 LVT262202 LLX262202 LCB262202 KSF262202 KIJ262202 JYN262202 JOR262202 JEV262202 IUZ262202 ILD262202 IBH262202 HRL262202 HHP262202 GXT262202 GNX262202 GEB262202 FUF262202 FKJ262202 FAN262202 EQR262202 EGV262202 DWZ262202 DND262202 DDH262202 CTL262202 CJP262202 BZT262202 BPX262202 BGB262202 AWF262202 AMJ262202 ACN262202 SR262202 IV262202 D262202 WVH196666 WLL196666 WBP196666 VRT196666 VHX196666 UYB196666 UOF196666 UEJ196666 TUN196666 TKR196666 TAV196666 SQZ196666 SHD196666 RXH196666 RNL196666 RDP196666 QTT196666 QJX196666 QAB196666 PQF196666 PGJ196666 OWN196666 OMR196666 OCV196666 NSZ196666 NJD196666 MZH196666 MPL196666 MFP196666 LVT196666 LLX196666 LCB196666 KSF196666 KIJ196666 JYN196666 JOR196666 JEV196666 IUZ196666 ILD196666 IBH196666 HRL196666 HHP196666 GXT196666 GNX196666 GEB196666 FUF196666 FKJ196666 FAN196666 EQR196666 EGV196666 DWZ196666 DND196666 DDH196666 CTL196666 CJP196666 BZT196666 BPX196666 BGB196666 AWF196666 AMJ196666 ACN196666 SR196666 IV196666 D196666 WVH131130 WLL131130 WBP131130 VRT131130 VHX131130 UYB131130 UOF131130 UEJ131130 TUN131130 TKR131130 TAV131130 SQZ131130 SHD131130 RXH131130 RNL131130 RDP131130 QTT131130 QJX131130 QAB131130 PQF131130 PGJ131130 OWN131130 OMR131130 OCV131130 NSZ131130 NJD131130 MZH131130 MPL131130 MFP131130 LVT131130 LLX131130 LCB131130 KSF131130 KIJ131130 JYN131130 JOR131130 JEV131130 IUZ131130 ILD131130 IBH131130 HRL131130 HHP131130 GXT131130 GNX131130 GEB131130 FUF131130 FKJ131130 FAN131130 EQR131130 EGV131130 DWZ131130 DND131130 DDH131130 CTL131130 CJP131130 BZT131130 BPX131130 BGB131130 AWF131130 AMJ131130 ACN131130 SR131130 IV131130 D131130 WVH65594 WLL65594 WBP65594 VRT65594 VHX65594 UYB65594 UOF65594 UEJ65594 TUN65594 TKR65594 TAV65594 SQZ65594 SHD65594 RXH65594 RNL65594 RDP65594 QTT65594 QJX65594 QAB65594 PQF65594 PGJ65594 OWN65594 OMR65594 OCV65594 NSZ65594 NJD65594 MZH65594 MPL65594 MFP65594 LVT65594 LLX65594 LCB65594 KSF65594 KIJ65594 JYN65594 JOR65594 JEV65594 IUZ65594 ILD65594 IBH65594 HRL65594 HHP65594 GXT65594 GNX65594 GEB65594 FUF65594 FKJ65594 FAN65594 EQR65594 EGV65594 DWZ65594 DND65594 DDH65594 CTL65594 CJP65594 BZT65594 BPX65594 BGB65594 AWF65594 AMJ65594 ACN65594 SR65594 IV65594 D65594 WVH53 WLL53 WBP53 VRT53 VHX53 UYB53 UOF53 UEJ53 TUN53 TKR53 TAV53 SQZ53 SHD53 RXH53 RNL53 RDP53 QTT53 QJX53 QAB53 PQF53 PGJ53 OWN53 OMR53 OCV53 NSZ53 NJD53 MZH53 MPL53 MFP53 LVT53 LLX53 LCB53 KSF53 KIJ53 JYN53 JOR53 JEV53 IUZ53 ILD53 IBH53 HRL53 HHP53 GXT53 GNX53 GEB53 FUF53 FKJ53 FAN53 EQR53 EGV53 DWZ53 DND53 DDH53 CTL53 CJP53 BZT53 BPX53 BGB53 AWF53 AMJ53 ACN53 SR53 IV53 WVG983102:WVH983102 WLK983102:WLL983102 WBO983102:WBP983102 VRS983102:VRT983102 VHW983102:VHX983102 UYA983102:UYB983102 UOE983102:UOF983102 UEI983102:UEJ983102 TUM983102:TUN983102 TKQ983102:TKR983102 TAU983102:TAV983102 SQY983102:SQZ983102 SHC983102:SHD983102 RXG983102:RXH983102 RNK983102:RNL983102 RDO983102:RDP983102 QTS983102:QTT983102 QJW983102:QJX983102 QAA983102:QAB983102 PQE983102:PQF983102 PGI983102:PGJ983102 OWM983102:OWN983102 OMQ983102:OMR983102 OCU983102:OCV983102 NSY983102:NSZ983102 NJC983102:NJD983102 MZG983102:MZH983102 MPK983102:MPL983102 MFO983102:MFP983102 LVS983102:LVT983102 LLW983102:LLX983102 LCA983102:LCB983102 KSE983102:KSF983102 KII983102:KIJ983102 JYM983102:JYN983102 JOQ983102:JOR983102 JEU983102:JEV983102 IUY983102:IUZ983102 ILC983102:ILD983102 IBG983102:IBH983102 HRK983102:HRL983102 HHO983102:HHP983102 GXS983102:GXT983102 GNW983102:GNX983102 GEA983102:GEB983102 FUE983102:FUF983102 FKI983102:FKJ983102 FAM983102:FAN983102 EQQ983102:EQR983102 EGU983102:EGV983102 DWY983102:DWZ983102 DNC983102:DND983102 DDG983102:DDH983102 CTK983102:CTL983102 CJO983102:CJP983102 BZS983102:BZT983102 BPW983102:BPX983102 BGA983102:BGB983102 AWE983102:AWF983102 AMI983102:AMJ983102 ACM983102:ACN983102 SQ983102:SR983102 IU983102:IV983102 C983102:D983102 WVG917566:WVH917566 WLK917566:WLL917566 WBO917566:WBP917566 VRS917566:VRT917566 VHW917566:VHX917566 UYA917566:UYB917566 UOE917566:UOF917566 UEI917566:UEJ917566 TUM917566:TUN917566 TKQ917566:TKR917566 TAU917566:TAV917566 SQY917566:SQZ917566 SHC917566:SHD917566 RXG917566:RXH917566 RNK917566:RNL917566 RDO917566:RDP917566 QTS917566:QTT917566 QJW917566:QJX917566 QAA917566:QAB917566 PQE917566:PQF917566 PGI917566:PGJ917566 OWM917566:OWN917566 OMQ917566:OMR917566 OCU917566:OCV917566 NSY917566:NSZ917566 NJC917566:NJD917566 MZG917566:MZH917566 MPK917566:MPL917566 MFO917566:MFP917566 LVS917566:LVT917566 LLW917566:LLX917566 LCA917566:LCB917566 KSE917566:KSF917566 KII917566:KIJ917566 JYM917566:JYN917566 JOQ917566:JOR917566 JEU917566:JEV917566 IUY917566:IUZ917566 ILC917566:ILD917566 IBG917566:IBH917566 HRK917566:HRL917566 HHO917566:HHP917566 GXS917566:GXT917566 GNW917566:GNX917566 GEA917566:GEB917566 FUE917566:FUF917566 FKI917566:FKJ917566 FAM917566:FAN917566 EQQ917566:EQR917566 EGU917566:EGV917566 DWY917566:DWZ917566 DNC917566:DND917566 DDG917566:DDH917566 CTK917566:CTL917566 CJO917566:CJP917566 BZS917566:BZT917566 BPW917566:BPX917566 BGA917566:BGB917566 AWE917566:AWF917566 AMI917566:AMJ917566 ACM917566:ACN917566 SQ917566:SR917566 IU917566:IV917566 C917566:D917566 WVG852030:WVH852030 WLK852030:WLL852030 WBO852030:WBP852030 VRS852030:VRT852030 VHW852030:VHX852030 UYA852030:UYB852030 UOE852030:UOF852030 UEI852030:UEJ852030 TUM852030:TUN852030 TKQ852030:TKR852030 TAU852030:TAV852030 SQY852030:SQZ852030 SHC852030:SHD852030 RXG852030:RXH852030 RNK852030:RNL852030 RDO852030:RDP852030 QTS852030:QTT852030 QJW852030:QJX852030 QAA852030:QAB852030 PQE852030:PQF852030 PGI852030:PGJ852030 OWM852030:OWN852030 OMQ852030:OMR852030 OCU852030:OCV852030 NSY852030:NSZ852030 NJC852030:NJD852030 MZG852030:MZH852030 MPK852030:MPL852030 MFO852030:MFP852030 LVS852030:LVT852030 LLW852030:LLX852030 LCA852030:LCB852030 KSE852030:KSF852030 KII852030:KIJ852030 JYM852030:JYN852030 JOQ852030:JOR852030 JEU852030:JEV852030 IUY852030:IUZ852030 ILC852030:ILD852030 IBG852030:IBH852030 HRK852030:HRL852030 HHO852030:HHP852030 GXS852030:GXT852030 GNW852030:GNX852030 GEA852030:GEB852030 FUE852030:FUF852030 FKI852030:FKJ852030 FAM852030:FAN852030 EQQ852030:EQR852030 EGU852030:EGV852030 DWY852030:DWZ852030 DNC852030:DND852030 DDG852030:DDH852030 CTK852030:CTL852030 CJO852030:CJP852030 BZS852030:BZT852030 BPW852030:BPX852030 BGA852030:BGB852030 AWE852030:AWF852030 AMI852030:AMJ852030 ACM852030:ACN852030 SQ852030:SR852030 IU852030:IV852030 C852030:D852030 WVG786494:WVH786494 WLK786494:WLL786494 WBO786494:WBP786494 VRS786494:VRT786494 VHW786494:VHX786494 UYA786494:UYB786494 UOE786494:UOF786494 UEI786494:UEJ786494 TUM786494:TUN786494 TKQ786494:TKR786494 TAU786494:TAV786494 SQY786494:SQZ786494 SHC786494:SHD786494 RXG786494:RXH786494 RNK786494:RNL786494 RDO786494:RDP786494 QTS786494:QTT786494 QJW786494:QJX786494 QAA786494:QAB786494 PQE786494:PQF786494 PGI786494:PGJ786494 OWM786494:OWN786494 OMQ786494:OMR786494 OCU786494:OCV786494 NSY786494:NSZ786494 NJC786494:NJD786494 MZG786494:MZH786494 MPK786494:MPL786494 MFO786494:MFP786494 LVS786494:LVT786494 LLW786494:LLX786494 LCA786494:LCB786494 KSE786494:KSF786494 KII786494:KIJ786494 JYM786494:JYN786494 JOQ786494:JOR786494 JEU786494:JEV786494 IUY786494:IUZ786494 ILC786494:ILD786494 IBG786494:IBH786494 HRK786494:HRL786494 HHO786494:HHP786494 GXS786494:GXT786494 GNW786494:GNX786494 GEA786494:GEB786494 FUE786494:FUF786494 FKI786494:FKJ786494 FAM786494:FAN786494 EQQ786494:EQR786494 EGU786494:EGV786494 DWY786494:DWZ786494 DNC786494:DND786494 DDG786494:DDH786494 CTK786494:CTL786494 CJO786494:CJP786494 BZS786494:BZT786494 BPW786494:BPX786494 BGA786494:BGB786494 AWE786494:AWF786494 AMI786494:AMJ786494 ACM786494:ACN786494 SQ786494:SR786494 IU786494:IV786494 C786494:D786494 WVG720958:WVH720958 WLK720958:WLL720958 WBO720958:WBP720958 VRS720958:VRT720958 VHW720958:VHX720958 UYA720958:UYB720958 UOE720958:UOF720958 UEI720958:UEJ720958 TUM720958:TUN720958 TKQ720958:TKR720958 TAU720958:TAV720958 SQY720958:SQZ720958 SHC720958:SHD720958 RXG720958:RXH720958 RNK720958:RNL720958 RDO720958:RDP720958 QTS720958:QTT720958 QJW720958:QJX720958 QAA720958:QAB720958 PQE720958:PQF720958 PGI720958:PGJ720958 OWM720958:OWN720958 OMQ720958:OMR720958 OCU720958:OCV720958 NSY720958:NSZ720958 NJC720958:NJD720958 MZG720958:MZH720958 MPK720958:MPL720958 MFO720958:MFP720958 LVS720958:LVT720958 LLW720958:LLX720958 LCA720958:LCB720958 KSE720958:KSF720958 KII720958:KIJ720958 JYM720958:JYN720958 JOQ720958:JOR720958 JEU720958:JEV720958 IUY720958:IUZ720958 ILC720958:ILD720958 IBG720958:IBH720958 HRK720958:HRL720958 HHO720958:HHP720958 GXS720958:GXT720958 GNW720958:GNX720958 GEA720958:GEB720958 FUE720958:FUF720958 FKI720958:FKJ720958 FAM720958:FAN720958 EQQ720958:EQR720958 EGU720958:EGV720958 DWY720958:DWZ720958 DNC720958:DND720958 DDG720958:DDH720958 CTK720958:CTL720958 CJO720958:CJP720958 BZS720958:BZT720958 BPW720958:BPX720958 BGA720958:BGB720958 AWE720958:AWF720958 AMI720958:AMJ720958 ACM720958:ACN720958 SQ720958:SR720958 IU720958:IV720958 C720958:D720958 WVG655422:WVH655422 WLK655422:WLL655422 WBO655422:WBP655422 VRS655422:VRT655422 VHW655422:VHX655422 UYA655422:UYB655422 UOE655422:UOF655422 UEI655422:UEJ655422 TUM655422:TUN655422 TKQ655422:TKR655422 TAU655422:TAV655422 SQY655422:SQZ655422 SHC655422:SHD655422 RXG655422:RXH655422 RNK655422:RNL655422 RDO655422:RDP655422 QTS655422:QTT655422 QJW655422:QJX655422 QAA655422:QAB655422 PQE655422:PQF655422 PGI655422:PGJ655422 OWM655422:OWN655422 OMQ655422:OMR655422 OCU655422:OCV655422 NSY655422:NSZ655422 NJC655422:NJD655422 MZG655422:MZH655422 MPK655422:MPL655422 MFO655422:MFP655422 LVS655422:LVT655422 LLW655422:LLX655422 LCA655422:LCB655422 KSE655422:KSF655422 KII655422:KIJ655422 JYM655422:JYN655422 JOQ655422:JOR655422 JEU655422:JEV655422 IUY655422:IUZ655422 ILC655422:ILD655422 IBG655422:IBH655422 HRK655422:HRL655422 HHO655422:HHP655422 GXS655422:GXT655422 GNW655422:GNX655422 GEA655422:GEB655422 FUE655422:FUF655422 FKI655422:FKJ655422 FAM655422:FAN655422 EQQ655422:EQR655422 EGU655422:EGV655422 DWY655422:DWZ655422 DNC655422:DND655422 DDG655422:DDH655422 CTK655422:CTL655422 CJO655422:CJP655422 BZS655422:BZT655422 BPW655422:BPX655422 BGA655422:BGB655422 AWE655422:AWF655422 AMI655422:AMJ655422 ACM655422:ACN655422 SQ655422:SR655422 IU655422:IV655422 C655422:D655422 WVG589886:WVH589886 WLK589886:WLL589886 WBO589886:WBP589886 VRS589886:VRT589886 VHW589886:VHX589886 UYA589886:UYB589886 UOE589886:UOF589886 UEI589886:UEJ589886 TUM589886:TUN589886 TKQ589886:TKR589886 TAU589886:TAV589886 SQY589886:SQZ589886 SHC589886:SHD589886 RXG589886:RXH589886 RNK589886:RNL589886 RDO589886:RDP589886 QTS589886:QTT589886 QJW589886:QJX589886 QAA589886:QAB589886 PQE589886:PQF589886 PGI589886:PGJ589886 OWM589886:OWN589886 OMQ589886:OMR589886 OCU589886:OCV589886 NSY589886:NSZ589886 NJC589886:NJD589886 MZG589886:MZH589886 MPK589886:MPL589886 MFO589886:MFP589886 LVS589886:LVT589886 LLW589886:LLX589886 LCA589886:LCB589886 KSE589886:KSF589886 KII589886:KIJ589886 JYM589886:JYN589886 JOQ589886:JOR589886 JEU589886:JEV589886 IUY589886:IUZ589886 ILC589886:ILD589886 IBG589886:IBH589886 HRK589886:HRL589886 HHO589886:HHP589886 GXS589886:GXT589886 GNW589886:GNX589886 GEA589886:GEB589886 FUE589886:FUF589886 FKI589886:FKJ589886 FAM589886:FAN589886 EQQ589886:EQR589886 EGU589886:EGV589886 DWY589886:DWZ589886 DNC589886:DND589886 DDG589886:DDH589886 CTK589886:CTL589886 CJO589886:CJP589886 BZS589886:BZT589886 BPW589886:BPX589886 BGA589886:BGB589886 AWE589886:AWF589886 AMI589886:AMJ589886 ACM589886:ACN589886 SQ589886:SR589886 IU589886:IV589886 C589886:D589886 WVG524350:WVH524350 WLK524350:WLL524350 WBO524350:WBP524350 VRS524350:VRT524350 VHW524350:VHX524350 UYA524350:UYB524350 UOE524350:UOF524350 UEI524350:UEJ524350 TUM524350:TUN524350 TKQ524350:TKR524350 TAU524350:TAV524350 SQY524350:SQZ524350 SHC524350:SHD524350 RXG524350:RXH524350 RNK524350:RNL524350 RDO524350:RDP524350 QTS524350:QTT524350 QJW524350:QJX524350 QAA524350:QAB524350 PQE524350:PQF524350 PGI524350:PGJ524350 OWM524350:OWN524350 OMQ524350:OMR524350 OCU524350:OCV524350 NSY524350:NSZ524350 NJC524350:NJD524350 MZG524350:MZH524350 MPK524350:MPL524350 MFO524350:MFP524350 LVS524350:LVT524350 LLW524350:LLX524350 LCA524350:LCB524350 KSE524350:KSF524350 KII524350:KIJ524350 JYM524350:JYN524350 JOQ524350:JOR524350 JEU524350:JEV524350 IUY524350:IUZ524350 ILC524350:ILD524350 IBG524350:IBH524350 HRK524350:HRL524350 HHO524350:HHP524350 GXS524350:GXT524350 GNW524350:GNX524350 GEA524350:GEB524350 FUE524350:FUF524350 FKI524350:FKJ524350 FAM524350:FAN524350 EQQ524350:EQR524350 EGU524350:EGV524350 DWY524350:DWZ524350 DNC524350:DND524350 DDG524350:DDH524350 CTK524350:CTL524350 CJO524350:CJP524350 BZS524350:BZT524350 BPW524350:BPX524350 BGA524350:BGB524350 AWE524350:AWF524350 AMI524350:AMJ524350 ACM524350:ACN524350 SQ524350:SR524350 IU524350:IV524350 C524350:D524350 WVG458814:WVH458814 WLK458814:WLL458814 WBO458814:WBP458814 VRS458814:VRT458814 VHW458814:VHX458814 UYA458814:UYB458814 UOE458814:UOF458814 UEI458814:UEJ458814 TUM458814:TUN458814 TKQ458814:TKR458814 TAU458814:TAV458814 SQY458814:SQZ458814 SHC458814:SHD458814 RXG458814:RXH458814 RNK458814:RNL458814 RDO458814:RDP458814 QTS458814:QTT458814 QJW458814:QJX458814 QAA458814:QAB458814 PQE458814:PQF458814 PGI458814:PGJ458814 OWM458814:OWN458814 OMQ458814:OMR458814 OCU458814:OCV458814 NSY458814:NSZ458814 NJC458814:NJD458814 MZG458814:MZH458814 MPK458814:MPL458814 MFO458814:MFP458814 LVS458814:LVT458814 LLW458814:LLX458814 LCA458814:LCB458814 KSE458814:KSF458814 KII458814:KIJ458814 JYM458814:JYN458814 JOQ458814:JOR458814 JEU458814:JEV458814 IUY458814:IUZ458814 ILC458814:ILD458814 IBG458814:IBH458814 HRK458814:HRL458814 HHO458814:HHP458814 GXS458814:GXT458814 GNW458814:GNX458814 GEA458814:GEB458814 FUE458814:FUF458814 FKI458814:FKJ458814 FAM458814:FAN458814 EQQ458814:EQR458814 EGU458814:EGV458814 DWY458814:DWZ458814 DNC458814:DND458814 DDG458814:DDH458814 CTK458814:CTL458814 CJO458814:CJP458814 BZS458814:BZT458814 BPW458814:BPX458814 BGA458814:BGB458814 AWE458814:AWF458814 AMI458814:AMJ458814 ACM458814:ACN458814 SQ458814:SR458814 IU458814:IV458814 C458814:D458814 WVG393278:WVH393278 WLK393278:WLL393278 WBO393278:WBP393278 VRS393278:VRT393278 VHW393278:VHX393278 UYA393278:UYB393278 UOE393278:UOF393278 UEI393278:UEJ393278 TUM393278:TUN393278 TKQ393278:TKR393278 TAU393278:TAV393278 SQY393278:SQZ393278 SHC393278:SHD393278 RXG393278:RXH393278 RNK393278:RNL393278 RDO393278:RDP393278 QTS393278:QTT393278 QJW393278:QJX393278 QAA393278:QAB393278 PQE393278:PQF393278 PGI393278:PGJ393278 OWM393278:OWN393278 OMQ393278:OMR393278 OCU393278:OCV393278 NSY393278:NSZ393278 NJC393278:NJD393278 MZG393278:MZH393278 MPK393278:MPL393278 MFO393278:MFP393278 LVS393278:LVT393278 LLW393278:LLX393278 LCA393278:LCB393278 KSE393278:KSF393278 KII393278:KIJ393278 JYM393278:JYN393278 JOQ393278:JOR393278 JEU393278:JEV393278 IUY393278:IUZ393278 ILC393278:ILD393278 IBG393278:IBH393278 HRK393278:HRL393278 HHO393278:HHP393278 GXS393278:GXT393278 GNW393278:GNX393278 GEA393278:GEB393278 FUE393278:FUF393278 FKI393278:FKJ393278 FAM393278:FAN393278 EQQ393278:EQR393278 EGU393278:EGV393278 DWY393278:DWZ393278 DNC393278:DND393278 DDG393278:DDH393278 CTK393278:CTL393278 CJO393278:CJP393278 BZS393278:BZT393278 BPW393278:BPX393278 BGA393278:BGB393278 AWE393278:AWF393278 AMI393278:AMJ393278 ACM393278:ACN393278 SQ393278:SR393278 IU393278:IV393278 C393278:D393278 WVG327742:WVH327742 WLK327742:WLL327742 WBO327742:WBP327742 VRS327742:VRT327742 VHW327742:VHX327742 UYA327742:UYB327742 UOE327742:UOF327742 UEI327742:UEJ327742 TUM327742:TUN327742 TKQ327742:TKR327742 TAU327742:TAV327742 SQY327742:SQZ327742 SHC327742:SHD327742 RXG327742:RXH327742 RNK327742:RNL327742 RDO327742:RDP327742 QTS327742:QTT327742 QJW327742:QJX327742 QAA327742:QAB327742 PQE327742:PQF327742 PGI327742:PGJ327742 OWM327742:OWN327742 OMQ327742:OMR327742 OCU327742:OCV327742 NSY327742:NSZ327742 NJC327742:NJD327742 MZG327742:MZH327742 MPK327742:MPL327742 MFO327742:MFP327742 LVS327742:LVT327742 LLW327742:LLX327742 LCA327742:LCB327742 KSE327742:KSF327742 KII327742:KIJ327742 JYM327742:JYN327742 JOQ327742:JOR327742 JEU327742:JEV327742 IUY327742:IUZ327742 ILC327742:ILD327742 IBG327742:IBH327742 HRK327742:HRL327742 HHO327742:HHP327742 GXS327742:GXT327742 GNW327742:GNX327742 GEA327742:GEB327742 FUE327742:FUF327742 FKI327742:FKJ327742 FAM327742:FAN327742 EQQ327742:EQR327742 EGU327742:EGV327742 DWY327742:DWZ327742 DNC327742:DND327742 DDG327742:DDH327742 CTK327742:CTL327742 CJO327742:CJP327742 BZS327742:BZT327742 BPW327742:BPX327742 BGA327742:BGB327742 AWE327742:AWF327742 AMI327742:AMJ327742 ACM327742:ACN327742 SQ327742:SR327742 IU327742:IV327742 C327742:D327742 WVG262206:WVH262206 WLK262206:WLL262206 WBO262206:WBP262206 VRS262206:VRT262206 VHW262206:VHX262206 UYA262206:UYB262206 UOE262206:UOF262206 UEI262206:UEJ262206 TUM262206:TUN262206 TKQ262206:TKR262206 TAU262206:TAV262206 SQY262206:SQZ262206 SHC262206:SHD262206 RXG262206:RXH262206 RNK262206:RNL262206 RDO262206:RDP262206 QTS262206:QTT262206 QJW262206:QJX262206 QAA262206:QAB262206 PQE262206:PQF262206 PGI262206:PGJ262206 OWM262206:OWN262206 OMQ262206:OMR262206 OCU262206:OCV262206 NSY262206:NSZ262206 NJC262206:NJD262206 MZG262206:MZH262206 MPK262206:MPL262206 MFO262206:MFP262206 LVS262206:LVT262206 LLW262206:LLX262206 LCA262206:LCB262206 KSE262206:KSF262206 KII262206:KIJ262206 JYM262206:JYN262206 JOQ262206:JOR262206 JEU262206:JEV262206 IUY262206:IUZ262206 ILC262206:ILD262206 IBG262206:IBH262206 HRK262206:HRL262206 HHO262206:HHP262206 GXS262206:GXT262206 GNW262206:GNX262206 GEA262206:GEB262206 FUE262206:FUF262206 FKI262206:FKJ262206 FAM262206:FAN262206 EQQ262206:EQR262206 EGU262206:EGV262206 DWY262206:DWZ262206 DNC262206:DND262206 DDG262206:DDH262206 CTK262206:CTL262206 CJO262206:CJP262206 BZS262206:BZT262206 BPW262206:BPX262206 BGA262206:BGB262206 AWE262206:AWF262206 AMI262206:AMJ262206 ACM262206:ACN262206 SQ262206:SR262206 IU262206:IV262206 C262206:D262206 WVG196670:WVH196670 WLK196670:WLL196670 WBO196670:WBP196670 VRS196670:VRT196670 VHW196670:VHX196670 UYA196670:UYB196670 UOE196670:UOF196670 UEI196670:UEJ196670 TUM196670:TUN196670 TKQ196670:TKR196670 TAU196670:TAV196670 SQY196670:SQZ196670 SHC196670:SHD196670 RXG196670:RXH196670 RNK196670:RNL196670 RDO196670:RDP196670 QTS196670:QTT196670 QJW196670:QJX196670 QAA196670:QAB196670 PQE196670:PQF196670 PGI196670:PGJ196670 OWM196670:OWN196670 OMQ196670:OMR196670 OCU196670:OCV196670 NSY196670:NSZ196670 NJC196670:NJD196670 MZG196670:MZH196670 MPK196670:MPL196670 MFO196670:MFP196670 LVS196670:LVT196670 LLW196670:LLX196670 LCA196670:LCB196670 KSE196670:KSF196670 KII196670:KIJ196670 JYM196670:JYN196670 JOQ196670:JOR196670 JEU196670:JEV196670 IUY196670:IUZ196670 ILC196670:ILD196670 IBG196670:IBH196670 HRK196670:HRL196670 HHO196670:HHP196670 GXS196670:GXT196670 GNW196670:GNX196670 GEA196670:GEB196670 FUE196670:FUF196670 FKI196670:FKJ196670 FAM196670:FAN196670 EQQ196670:EQR196670 EGU196670:EGV196670 DWY196670:DWZ196670 DNC196670:DND196670 DDG196670:DDH196670 CTK196670:CTL196670 CJO196670:CJP196670 BZS196670:BZT196670 BPW196670:BPX196670 BGA196670:BGB196670 AWE196670:AWF196670 AMI196670:AMJ196670 ACM196670:ACN196670 SQ196670:SR196670 IU196670:IV196670 C196670:D196670 WVG131134:WVH131134 WLK131134:WLL131134 WBO131134:WBP131134 VRS131134:VRT131134 VHW131134:VHX131134 UYA131134:UYB131134 UOE131134:UOF131134 UEI131134:UEJ131134 TUM131134:TUN131134 TKQ131134:TKR131134 TAU131134:TAV131134 SQY131134:SQZ131134 SHC131134:SHD131134 RXG131134:RXH131134 RNK131134:RNL131134 RDO131134:RDP131134 QTS131134:QTT131134 QJW131134:QJX131134 QAA131134:QAB131134 PQE131134:PQF131134 PGI131134:PGJ131134 OWM131134:OWN131134 OMQ131134:OMR131134 OCU131134:OCV131134 NSY131134:NSZ131134 NJC131134:NJD131134 MZG131134:MZH131134 MPK131134:MPL131134 MFO131134:MFP131134 LVS131134:LVT131134 LLW131134:LLX131134 LCA131134:LCB131134 KSE131134:KSF131134 KII131134:KIJ131134 JYM131134:JYN131134 JOQ131134:JOR131134 JEU131134:JEV131134 IUY131134:IUZ131134 ILC131134:ILD131134 IBG131134:IBH131134 HRK131134:HRL131134 HHO131134:HHP131134 GXS131134:GXT131134 GNW131134:GNX131134 GEA131134:GEB131134 FUE131134:FUF131134 FKI131134:FKJ131134 FAM131134:FAN131134 EQQ131134:EQR131134 EGU131134:EGV131134 DWY131134:DWZ131134 DNC131134:DND131134 DDG131134:DDH131134 CTK131134:CTL131134 CJO131134:CJP131134 BZS131134:BZT131134 BPW131134:BPX131134 BGA131134:BGB131134 AWE131134:AWF131134 AMI131134:AMJ131134 ACM131134:ACN131134 SQ131134:SR131134 IU131134:IV131134 C131134:D131134 WVG65598:WVH65598 WLK65598:WLL65598 WBO65598:WBP65598 VRS65598:VRT65598 VHW65598:VHX65598 UYA65598:UYB65598 UOE65598:UOF65598 UEI65598:UEJ65598 TUM65598:TUN65598 TKQ65598:TKR65598 TAU65598:TAV65598 SQY65598:SQZ65598 SHC65598:SHD65598 RXG65598:RXH65598 RNK65598:RNL65598 RDO65598:RDP65598 QTS65598:QTT65598 QJW65598:QJX65598 QAA65598:QAB65598 PQE65598:PQF65598 PGI65598:PGJ65598 OWM65598:OWN65598 OMQ65598:OMR65598 OCU65598:OCV65598 NSY65598:NSZ65598 NJC65598:NJD65598 MZG65598:MZH65598 MPK65598:MPL65598 MFO65598:MFP65598 LVS65598:LVT65598 LLW65598:LLX65598 LCA65598:LCB65598 KSE65598:KSF65598 KII65598:KIJ65598 JYM65598:JYN65598 JOQ65598:JOR65598 JEU65598:JEV65598 IUY65598:IUZ65598 ILC65598:ILD65598 IBG65598:IBH65598 HRK65598:HRL65598 HHO65598:HHP65598 GXS65598:GXT65598 GNW65598:GNX65598 GEA65598:GEB65598 FUE65598:FUF65598 FKI65598:FKJ65598 FAM65598:FAN65598 EQQ65598:EQR65598 EGU65598:EGV65598 DWY65598:DWZ65598 DNC65598:DND65598 DDG65598:DDH65598 CTK65598:CTL65598 CJO65598:CJP65598 BZS65598:BZT65598 BPW65598:BPX65598 BGA65598:BGB65598 AWE65598:AWF65598 AMI65598:AMJ65598 ACM65598:ACN65598 SQ65598:SR65598 IU65598:IV65598 C65598:D65598 WVG57:WVH57 WLK57:WLL57 WBO57:WBP57 VRS57:VRT57 VHW57:VHX57 UYA57:UYB57 UOE57:UOF57 UEI57:UEJ57 TUM57:TUN57 TKQ57:TKR57 TAU57:TAV57 SQY57:SQZ57 SHC57:SHD57 RXG57:RXH57 RNK57:RNL57 RDO57:RDP57 QTS57:QTT57 QJW57:QJX57 QAA57:QAB57 PQE57:PQF57 PGI57:PGJ57 OWM57:OWN57 OMQ57:OMR57 OCU57:OCV57 NSY57:NSZ57 NJC57:NJD57 MZG57:MZH57 MPK57:MPL57 MFO57:MFP57 LVS57:LVT57 LLW57:LLX57 LCA57:LCB57 KSE57:KSF57 KII57:KIJ57 JYM57:JYN57 JOQ57:JOR57 JEU57:JEV57 IUY57:IUZ57 ILC57:ILD57 IBG57:IBH57 HRK57:HRL57 HHO57:HHP57 GXS57:GXT57 GNW57:GNX57 GEA57:GEB57 FUE57:FUF57 FKI57:FKJ57 FAM57:FAN57 EQQ57:EQR57 EGU57:EGV57 DWY57:DWZ57 DNC57:DND57 DDG57:DDH57 CTK57:CTL57 CJO57:CJP57 BZS57:BZT57 BPW57:BPX57 BGA57:BGB57 AWE57:AWF57 AMI57:AMJ57 ACM57:ACN57 SQ57:SR57 IU57:IV57 WVH983122 WLL983122 WBP983122 VRT983122 VHX983122 UYB983122 UOF983122 UEJ983122 TUN983122 TKR983122 TAV983122 SQZ983122 SHD983122 RXH983122 RNL983122 RDP983122 QTT983122 QJX983122 QAB983122 PQF983122 PGJ983122 OWN983122 OMR983122 OCV983122 NSZ983122 NJD983122 MZH983122 MPL983122 MFP983122 LVT983122 LLX983122 LCB983122 KSF983122 KIJ983122 JYN983122 JOR983122 JEV983122 IUZ983122 ILD983122 IBH983122 HRL983122 HHP983122 GXT983122 GNX983122 GEB983122 FUF983122 FKJ983122 FAN983122 EQR983122 EGV983122 DWZ983122 DND983122 DDH983122 CTL983122 CJP983122 BZT983122 BPX983122 BGB983122 AWF983122 AMJ983122 ACN983122 SR983122 IV983122 D983122 WVH917586 WLL917586 WBP917586 VRT917586 VHX917586 UYB917586 UOF917586 UEJ917586 TUN917586 TKR917586 TAV917586 SQZ917586 SHD917586 RXH917586 RNL917586 RDP917586 QTT917586 QJX917586 QAB917586 PQF917586 PGJ917586 OWN917586 OMR917586 OCV917586 NSZ917586 NJD917586 MZH917586 MPL917586 MFP917586 LVT917586 LLX917586 LCB917586 KSF917586 KIJ917586 JYN917586 JOR917586 JEV917586 IUZ917586 ILD917586 IBH917586 HRL917586 HHP917586 GXT917586 GNX917586 GEB917586 FUF917586 FKJ917586 FAN917586 EQR917586 EGV917586 DWZ917586 DND917586 DDH917586 CTL917586 CJP917586 BZT917586 BPX917586 BGB917586 AWF917586 AMJ917586 ACN917586 SR917586 IV917586 D917586 WVH852050 WLL852050 WBP852050 VRT852050 VHX852050 UYB852050 UOF852050 UEJ852050 TUN852050 TKR852050 TAV852050 SQZ852050 SHD852050 RXH852050 RNL852050 RDP852050 QTT852050 QJX852050 QAB852050 PQF852050 PGJ852050 OWN852050 OMR852050 OCV852050 NSZ852050 NJD852050 MZH852050 MPL852050 MFP852050 LVT852050 LLX852050 LCB852050 KSF852050 KIJ852050 JYN852050 JOR852050 JEV852050 IUZ852050 ILD852050 IBH852050 HRL852050 HHP852050 GXT852050 GNX852050 GEB852050 FUF852050 FKJ852050 FAN852050 EQR852050 EGV852050 DWZ852050 DND852050 DDH852050 CTL852050 CJP852050 BZT852050 BPX852050 BGB852050 AWF852050 AMJ852050 ACN852050 SR852050 IV852050 D852050 WVH786514 WLL786514 WBP786514 VRT786514 VHX786514 UYB786514 UOF786514 UEJ786514 TUN786514 TKR786514 TAV786514 SQZ786514 SHD786514 RXH786514 RNL786514 RDP786514 QTT786514 QJX786514 QAB786514 PQF786514 PGJ786514 OWN786514 OMR786514 OCV786514 NSZ786514 NJD786514 MZH786514 MPL786514 MFP786514 LVT786514 LLX786514 LCB786514 KSF786514 KIJ786514 JYN786514 JOR786514 JEV786514 IUZ786514 ILD786514 IBH786514 HRL786514 HHP786514 GXT786514 GNX786514 GEB786514 FUF786514 FKJ786514 FAN786514 EQR786514 EGV786514 DWZ786514 DND786514 DDH786514 CTL786514 CJP786514 BZT786514 BPX786514 BGB786514 AWF786514 AMJ786514 ACN786514 SR786514 IV786514 D786514 WVH720978 WLL720978 WBP720978 VRT720978 VHX720978 UYB720978 UOF720978 UEJ720978 TUN720978 TKR720978 TAV720978 SQZ720978 SHD720978 RXH720978 RNL720978 RDP720978 QTT720978 QJX720978 QAB720978 PQF720978 PGJ720978 OWN720978 OMR720978 OCV720978 NSZ720978 NJD720978 MZH720978 MPL720978 MFP720978 LVT720978 LLX720978 LCB720978 KSF720978 KIJ720978 JYN720978 JOR720978 JEV720978 IUZ720978 ILD720978 IBH720978 HRL720978 HHP720978 GXT720978 GNX720978 GEB720978 FUF720978 FKJ720978 FAN720978 EQR720978 EGV720978 DWZ720978 DND720978 DDH720978 CTL720978 CJP720978 BZT720978 BPX720978 BGB720978 AWF720978 AMJ720978 ACN720978 SR720978 IV720978 D720978 WVH655442 WLL655442 WBP655442 VRT655442 VHX655442 UYB655442 UOF655442 UEJ655442 TUN655442 TKR655442 TAV655442 SQZ655442 SHD655442 RXH655442 RNL655442 RDP655442 QTT655442 QJX655442 QAB655442 PQF655442 PGJ655442 OWN655442 OMR655442 OCV655442 NSZ655442 NJD655442 MZH655442 MPL655442 MFP655442 LVT655442 LLX655442 LCB655442 KSF655442 KIJ655442 JYN655442 JOR655442 JEV655442 IUZ655442 ILD655442 IBH655442 HRL655442 HHP655442 GXT655442 GNX655442 GEB655442 FUF655442 FKJ655442 FAN655442 EQR655442 EGV655442 DWZ655442 DND655442 DDH655442 CTL655442 CJP655442 BZT655442 BPX655442 BGB655442 AWF655442 AMJ655442 ACN655442 SR655442 IV655442 D655442 WVH589906 WLL589906 WBP589906 VRT589906 VHX589906 UYB589906 UOF589906 UEJ589906 TUN589906 TKR589906 TAV589906 SQZ589906 SHD589906 RXH589906 RNL589906 RDP589906 QTT589906 QJX589906 QAB589906 PQF589906 PGJ589906 OWN589906 OMR589906 OCV589906 NSZ589906 NJD589906 MZH589906 MPL589906 MFP589906 LVT589906 LLX589906 LCB589906 KSF589906 KIJ589906 JYN589906 JOR589906 JEV589906 IUZ589906 ILD589906 IBH589906 HRL589906 HHP589906 GXT589906 GNX589906 GEB589906 FUF589906 FKJ589906 FAN589906 EQR589906 EGV589906 DWZ589906 DND589906 DDH589906 CTL589906 CJP589906 BZT589906 BPX589906 BGB589906 AWF589906 AMJ589906 ACN589906 SR589906 IV589906 D589906 WVH524370 WLL524370 WBP524370 VRT524370 VHX524370 UYB524370 UOF524370 UEJ524370 TUN524370 TKR524370 TAV524370 SQZ524370 SHD524370 RXH524370 RNL524370 RDP524370 QTT524370 QJX524370 QAB524370 PQF524370 PGJ524370 OWN524370 OMR524370 OCV524370 NSZ524370 NJD524370 MZH524370 MPL524370 MFP524370 LVT524370 LLX524370 LCB524370 KSF524370 KIJ524370 JYN524370 JOR524370 JEV524370 IUZ524370 ILD524370 IBH524370 HRL524370 HHP524370 GXT524370 GNX524370 GEB524370 FUF524370 FKJ524370 FAN524370 EQR524370 EGV524370 DWZ524370 DND524370 DDH524370 CTL524370 CJP524370 BZT524370 BPX524370 BGB524370 AWF524370 AMJ524370 ACN524370 SR524370 IV524370 D524370 WVH458834 WLL458834 WBP458834 VRT458834 VHX458834 UYB458834 UOF458834 UEJ458834 TUN458834 TKR458834 TAV458834 SQZ458834 SHD458834 RXH458834 RNL458834 RDP458834 QTT458834 QJX458834 QAB458834 PQF458834 PGJ458834 OWN458834 OMR458834 OCV458834 NSZ458834 NJD458834 MZH458834 MPL458834 MFP458834 LVT458834 LLX458834 LCB458834 KSF458834 KIJ458834 JYN458834 JOR458834 JEV458834 IUZ458834 ILD458834 IBH458834 HRL458834 HHP458834 GXT458834 GNX458834 GEB458834 FUF458834 FKJ458834 FAN458834 EQR458834 EGV458834 DWZ458834 DND458834 DDH458834 CTL458834 CJP458834 BZT458834 BPX458834 BGB458834 AWF458834 AMJ458834 ACN458834 SR458834 IV458834 D458834 WVH393298 WLL393298 WBP393298 VRT393298 VHX393298 UYB393298 UOF393298 UEJ393298 TUN393298 TKR393298 TAV393298 SQZ393298 SHD393298 RXH393298 RNL393298 RDP393298 QTT393298 QJX393298 QAB393298 PQF393298 PGJ393298 OWN393298 OMR393298 OCV393298 NSZ393298 NJD393298 MZH393298 MPL393298 MFP393298 LVT393298 LLX393298 LCB393298 KSF393298 KIJ393298 JYN393298 JOR393298 JEV393298 IUZ393298 ILD393298 IBH393298 HRL393298 HHP393298 GXT393298 GNX393298 GEB393298 FUF393298 FKJ393298 FAN393298 EQR393298 EGV393298 DWZ393298 DND393298 DDH393298 CTL393298 CJP393298 BZT393298 BPX393298 BGB393298 AWF393298 AMJ393298 ACN393298 SR393298 IV393298 D393298 WVH327762 WLL327762 WBP327762 VRT327762 VHX327762 UYB327762 UOF327762 UEJ327762 TUN327762 TKR327762 TAV327762 SQZ327762 SHD327762 RXH327762 RNL327762 RDP327762 QTT327762 QJX327762 QAB327762 PQF327762 PGJ327762 OWN327762 OMR327762 OCV327762 NSZ327762 NJD327762 MZH327762 MPL327762 MFP327762 LVT327762 LLX327762 LCB327762 KSF327762 KIJ327762 JYN327762 JOR327762 JEV327762 IUZ327762 ILD327762 IBH327762 HRL327762 HHP327762 GXT327762 GNX327762 GEB327762 FUF327762 FKJ327762 FAN327762 EQR327762 EGV327762 DWZ327762 DND327762 DDH327762 CTL327762 CJP327762 BZT327762 BPX327762 BGB327762 AWF327762 AMJ327762 ACN327762 SR327762 IV327762 D327762 WVH262226 WLL262226 WBP262226 VRT262226 VHX262226 UYB262226 UOF262226 UEJ262226 TUN262226 TKR262226 TAV262226 SQZ262226 SHD262226 RXH262226 RNL262226 RDP262226 QTT262226 QJX262226 QAB262226 PQF262226 PGJ262226 OWN262226 OMR262226 OCV262226 NSZ262226 NJD262226 MZH262226 MPL262226 MFP262226 LVT262226 LLX262226 LCB262226 KSF262226 KIJ262226 JYN262226 JOR262226 JEV262226 IUZ262226 ILD262226 IBH262226 HRL262226 HHP262226 GXT262226 GNX262226 GEB262226 FUF262226 FKJ262226 FAN262226 EQR262226 EGV262226 DWZ262226 DND262226 DDH262226 CTL262226 CJP262226 BZT262226 BPX262226 BGB262226 AWF262226 AMJ262226 ACN262226 SR262226 IV262226 D262226 WVH196690 WLL196690 WBP196690 VRT196690 VHX196690 UYB196690 UOF196690 UEJ196690 TUN196690 TKR196690 TAV196690 SQZ196690 SHD196690 RXH196690 RNL196690 RDP196690 QTT196690 QJX196690 QAB196690 PQF196690 PGJ196690 OWN196690 OMR196690 OCV196690 NSZ196690 NJD196690 MZH196690 MPL196690 MFP196690 LVT196690 LLX196690 LCB196690 KSF196690 KIJ196690 JYN196690 JOR196690 JEV196690 IUZ196690 ILD196690 IBH196690 HRL196690 HHP196690 GXT196690 GNX196690 GEB196690 FUF196690 FKJ196690 FAN196690 EQR196690 EGV196690 DWZ196690 DND196690 DDH196690 CTL196690 CJP196690 BZT196690 BPX196690 BGB196690 AWF196690 AMJ196690 ACN196690 SR196690 IV196690 D196690 WVH131154 WLL131154 WBP131154 VRT131154 VHX131154 UYB131154 UOF131154 UEJ131154 TUN131154 TKR131154 TAV131154 SQZ131154 SHD131154 RXH131154 RNL131154 RDP131154 QTT131154 QJX131154 QAB131154 PQF131154 PGJ131154 OWN131154 OMR131154 OCV131154 NSZ131154 NJD131154 MZH131154 MPL131154 MFP131154 LVT131154 LLX131154 LCB131154 KSF131154 KIJ131154 JYN131154 JOR131154 JEV131154 IUZ131154 ILD131154 IBH131154 HRL131154 HHP131154 GXT131154 GNX131154 GEB131154 FUF131154 FKJ131154 FAN131154 EQR131154 EGV131154 DWZ131154 DND131154 DDH131154 CTL131154 CJP131154 BZT131154 BPX131154 BGB131154 AWF131154 AMJ131154 ACN131154 SR131154 IV131154 D131154 WVH65618 WLL65618 WBP65618 VRT65618 VHX65618 UYB65618 UOF65618 UEJ65618 TUN65618 TKR65618 TAV65618 SQZ65618 SHD65618 RXH65618 RNL65618 RDP65618 QTT65618 QJX65618 QAB65618 PQF65618 PGJ65618 OWN65618 OMR65618 OCV65618 NSZ65618 NJD65618 MZH65618 MPL65618 MFP65618 LVT65618 LLX65618 LCB65618 KSF65618 KIJ65618 JYN65618 JOR65618 JEV65618 IUZ65618 ILD65618 IBH65618 HRL65618 HHP65618 GXT65618 GNX65618 GEB65618 FUF65618 FKJ65618 FAN65618 EQR65618 EGV65618 DWZ65618 DND65618 DDH65618 CTL65618 CJP65618 BZT65618 BPX65618 BGB65618 AWF65618 AMJ65618 ACN65618 SR65618 IV65618 D65618 WVH77 WLL77 WBP77 VRT77 VHX77 UYB77 UOF77 UEJ77 TUN77 TKR77 TAV77 SQZ77 SHD77 RXH77 RNL77 RDP77 QTT77 QJX77 QAB77 PQF77 PGJ77 OWN77 OMR77 OCV77 NSZ77 NJD77 MZH77 MPL77 MFP77 LVT77 LLX77 LCB77 KSF77 KIJ77 JYN77 JOR77 JEV77 IUZ77 ILD77 IBH77 HRL77 HHP77 GXT77 GNX77 GEB77 FUF77 FKJ77 FAN77 EQR77 EGV77 DWZ77 DND77 DDH77 CTL77 CJP77 BZT77 BPX77 BGB77 AWF77 AMJ77 ACN77 SR77 IV77 WVH983145 WLL983145 WBP983145 VRT983145 VHX983145 UYB983145 UOF983145 UEJ983145 TUN983145 TKR983145 TAV983145 SQZ983145 SHD983145 RXH983145 RNL983145 RDP983145 QTT983145 QJX983145 QAB983145 PQF983145 PGJ983145 OWN983145 OMR983145 OCV983145 NSZ983145 NJD983145 MZH983145 MPL983145 MFP983145 LVT983145 LLX983145 LCB983145 KSF983145 KIJ983145 JYN983145 JOR983145 JEV983145 IUZ983145 ILD983145 IBH983145 HRL983145 HHP983145 GXT983145 GNX983145 GEB983145 FUF983145 FKJ983145 FAN983145 EQR983145 EGV983145 DWZ983145 DND983145 DDH983145 CTL983145 CJP983145 BZT983145 BPX983145 BGB983145 AWF983145 AMJ983145 ACN983145 SR983145 IV983145 D983145 WVH917609 WLL917609 WBP917609 VRT917609 VHX917609 UYB917609 UOF917609 UEJ917609 TUN917609 TKR917609 TAV917609 SQZ917609 SHD917609 RXH917609 RNL917609 RDP917609 QTT917609 QJX917609 QAB917609 PQF917609 PGJ917609 OWN917609 OMR917609 OCV917609 NSZ917609 NJD917609 MZH917609 MPL917609 MFP917609 LVT917609 LLX917609 LCB917609 KSF917609 KIJ917609 JYN917609 JOR917609 JEV917609 IUZ917609 ILD917609 IBH917609 HRL917609 HHP917609 GXT917609 GNX917609 GEB917609 FUF917609 FKJ917609 FAN917609 EQR917609 EGV917609 DWZ917609 DND917609 DDH917609 CTL917609 CJP917609 BZT917609 BPX917609 BGB917609 AWF917609 AMJ917609 ACN917609 SR917609 IV917609 D917609 WVH852073 WLL852073 WBP852073 VRT852073 VHX852073 UYB852073 UOF852073 UEJ852073 TUN852073 TKR852073 TAV852073 SQZ852073 SHD852073 RXH852073 RNL852073 RDP852073 QTT852073 QJX852073 QAB852073 PQF852073 PGJ852073 OWN852073 OMR852073 OCV852073 NSZ852073 NJD852073 MZH852073 MPL852073 MFP852073 LVT852073 LLX852073 LCB852073 KSF852073 KIJ852073 JYN852073 JOR852073 JEV852073 IUZ852073 ILD852073 IBH852073 HRL852073 HHP852073 GXT852073 GNX852073 GEB852073 FUF852073 FKJ852073 FAN852073 EQR852073 EGV852073 DWZ852073 DND852073 DDH852073 CTL852073 CJP852073 BZT852073 BPX852073 BGB852073 AWF852073 AMJ852073 ACN852073 SR852073 IV852073 D852073 WVH786537 WLL786537 WBP786537 VRT786537 VHX786537 UYB786537 UOF786537 UEJ786537 TUN786537 TKR786537 TAV786537 SQZ786537 SHD786537 RXH786537 RNL786537 RDP786537 QTT786537 QJX786537 QAB786537 PQF786537 PGJ786537 OWN786537 OMR786537 OCV786537 NSZ786537 NJD786537 MZH786537 MPL786537 MFP786537 LVT786537 LLX786537 LCB786537 KSF786537 KIJ786537 JYN786537 JOR786537 JEV786537 IUZ786537 ILD786537 IBH786537 HRL786537 HHP786537 GXT786537 GNX786537 GEB786537 FUF786537 FKJ786537 FAN786537 EQR786537 EGV786537 DWZ786537 DND786537 DDH786537 CTL786537 CJP786537 BZT786537 BPX786537 BGB786537 AWF786537 AMJ786537 ACN786537 SR786537 IV786537 D786537 WVH721001 WLL721001 WBP721001 VRT721001 VHX721001 UYB721001 UOF721001 UEJ721001 TUN721001 TKR721001 TAV721001 SQZ721001 SHD721001 RXH721001 RNL721001 RDP721001 QTT721001 QJX721001 QAB721001 PQF721001 PGJ721001 OWN721001 OMR721001 OCV721001 NSZ721001 NJD721001 MZH721001 MPL721001 MFP721001 LVT721001 LLX721001 LCB721001 KSF721001 KIJ721001 JYN721001 JOR721001 JEV721001 IUZ721001 ILD721001 IBH721001 HRL721001 HHP721001 GXT721001 GNX721001 GEB721001 FUF721001 FKJ721001 FAN721001 EQR721001 EGV721001 DWZ721001 DND721001 DDH721001 CTL721001 CJP721001 BZT721001 BPX721001 BGB721001 AWF721001 AMJ721001 ACN721001 SR721001 IV721001 D721001 WVH655465 WLL655465 WBP655465 VRT655465 VHX655465 UYB655465 UOF655465 UEJ655465 TUN655465 TKR655465 TAV655465 SQZ655465 SHD655465 RXH655465 RNL655465 RDP655465 QTT655465 QJX655465 QAB655465 PQF655465 PGJ655465 OWN655465 OMR655465 OCV655465 NSZ655465 NJD655465 MZH655465 MPL655465 MFP655465 LVT655465 LLX655465 LCB655465 KSF655465 KIJ655465 JYN655465 JOR655465 JEV655465 IUZ655465 ILD655465 IBH655465 HRL655465 HHP655465 GXT655465 GNX655465 GEB655465 FUF655465 FKJ655465 FAN655465 EQR655465 EGV655465 DWZ655465 DND655465 DDH655465 CTL655465 CJP655465 BZT655465 BPX655465 BGB655465 AWF655465 AMJ655465 ACN655465 SR655465 IV655465 D655465 WVH589929 WLL589929 WBP589929 VRT589929 VHX589929 UYB589929 UOF589929 UEJ589929 TUN589929 TKR589929 TAV589929 SQZ589929 SHD589929 RXH589929 RNL589929 RDP589929 QTT589929 QJX589929 QAB589929 PQF589929 PGJ589929 OWN589929 OMR589929 OCV589929 NSZ589929 NJD589929 MZH589929 MPL589929 MFP589929 LVT589929 LLX589929 LCB589929 KSF589929 KIJ589929 JYN589929 JOR589929 JEV589929 IUZ589929 ILD589929 IBH589929 HRL589929 HHP589929 GXT589929 GNX589929 GEB589929 FUF589929 FKJ589929 FAN589929 EQR589929 EGV589929 DWZ589929 DND589929 DDH589929 CTL589929 CJP589929 BZT589929 BPX589929 BGB589929 AWF589929 AMJ589929 ACN589929 SR589929 IV589929 D589929 WVH524393 WLL524393 WBP524393 VRT524393 VHX524393 UYB524393 UOF524393 UEJ524393 TUN524393 TKR524393 TAV524393 SQZ524393 SHD524393 RXH524393 RNL524393 RDP524393 QTT524393 QJX524393 QAB524393 PQF524393 PGJ524393 OWN524393 OMR524393 OCV524393 NSZ524393 NJD524393 MZH524393 MPL524393 MFP524393 LVT524393 LLX524393 LCB524393 KSF524393 KIJ524393 JYN524393 JOR524393 JEV524393 IUZ524393 ILD524393 IBH524393 HRL524393 HHP524393 GXT524393 GNX524393 GEB524393 FUF524393 FKJ524393 FAN524393 EQR524393 EGV524393 DWZ524393 DND524393 DDH524393 CTL524393 CJP524393 BZT524393 BPX524393 BGB524393 AWF524393 AMJ524393 ACN524393 SR524393 IV524393 D524393 WVH458857 WLL458857 WBP458857 VRT458857 VHX458857 UYB458857 UOF458857 UEJ458857 TUN458857 TKR458857 TAV458857 SQZ458857 SHD458857 RXH458857 RNL458857 RDP458857 QTT458857 QJX458857 QAB458857 PQF458857 PGJ458857 OWN458857 OMR458857 OCV458857 NSZ458857 NJD458857 MZH458857 MPL458857 MFP458857 LVT458857 LLX458857 LCB458857 KSF458857 KIJ458857 JYN458857 JOR458857 JEV458857 IUZ458857 ILD458857 IBH458857 HRL458857 HHP458857 GXT458857 GNX458857 GEB458857 FUF458857 FKJ458857 FAN458857 EQR458857 EGV458857 DWZ458857 DND458857 DDH458857 CTL458857 CJP458857 BZT458857 BPX458857 BGB458857 AWF458857 AMJ458857 ACN458857 SR458857 IV458857 D458857 WVH393321 WLL393321 WBP393321 VRT393321 VHX393321 UYB393321 UOF393321 UEJ393321 TUN393321 TKR393321 TAV393321 SQZ393321 SHD393321 RXH393321 RNL393321 RDP393321 QTT393321 QJX393321 QAB393321 PQF393321 PGJ393321 OWN393321 OMR393321 OCV393321 NSZ393321 NJD393321 MZH393321 MPL393321 MFP393321 LVT393321 LLX393321 LCB393321 KSF393321 KIJ393321 JYN393321 JOR393321 JEV393321 IUZ393321 ILD393321 IBH393321 HRL393321 HHP393321 GXT393321 GNX393321 GEB393321 FUF393321 FKJ393321 FAN393321 EQR393321 EGV393321 DWZ393321 DND393321 DDH393321 CTL393321 CJP393321 BZT393321 BPX393321 BGB393321 AWF393321 AMJ393321 ACN393321 SR393321 IV393321 D393321 WVH327785 WLL327785 WBP327785 VRT327785 VHX327785 UYB327785 UOF327785 UEJ327785 TUN327785 TKR327785 TAV327785 SQZ327785 SHD327785 RXH327785 RNL327785 RDP327785 QTT327785 QJX327785 QAB327785 PQF327785 PGJ327785 OWN327785 OMR327785 OCV327785 NSZ327785 NJD327785 MZH327785 MPL327785 MFP327785 LVT327785 LLX327785 LCB327785 KSF327785 KIJ327785 JYN327785 JOR327785 JEV327785 IUZ327785 ILD327785 IBH327785 HRL327785 HHP327785 GXT327785 GNX327785 GEB327785 FUF327785 FKJ327785 FAN327785 EQR327785 EGV327785 DWZ327785 DND327785 DDH327785 CTL327785 CJP327785 BZT327785 BPX327785 BGB327785 AWF327785 AMJ327785 ACN327785 SR327785 IV327785 D327785 WVH262249 WLL262249 WBP262249 VRT262249 VHX262249 UYB262249 UOF262249 UEJ262249 TUN262249 TKR262249 TAV262249 SQZ262249 SHD262249 RXH262249 RNL262249 RDP262249 QTT262249 QJX262249 QAB262249 PQF262249 PGJ262249 OWN262249 OMR262249 OCV262249 NSZ262249 NJD262249 MZH262249 MPL262249 MFP262249 LVT262249 LLX262249 LCB262249 KSF262249 KIJ262249 JYN262249 JOR262249 JEV262249 IUZ262249 ILD262249 IBH262249 HRL262249 HHP262249 GXT262249 GNX262249 GEB262249 FUF262249 FKJ262249 FAN262249 EQR262249 EGV262249 DWZ262249 DND262249 DDH262249 CTL262249 CJP262249 BZT262249 BPX262249 BGB262249 AWF262249 AMJ262249 ACN262249 SR262249 IV262249 D262249 WVH196713 WLL196713 WBP196713 VRT196713 VHX196713 UYB196713 UOF196713 UEJ196713 TUN196713 TKR196713 TAV196713 SQZ196713 SHD196713 RXH196713 RNL196713 RDP196713 QTT196713 QJX196713 QAB196713 PQF196713 PGJ196713 OWN196713 OMR196713 OCV196713 NSZ196713 NJD196713 MZH196713 MPL196713 MFP196713 LVT196713 LLX196713 LCB196713 KSF196713 KIJ196713 JYN196713 JOR196713 JEV196713 IUZ196713 ILD196713 IBH196713 HRL196713 HHP196713 GXT196713 GNX196713 GEB196713 FUF196713 FKJ196713 FAN196713 EQR196713 EGV196713 DWZ196713 DND196713 DDH196713 CTL196713 CJP196713 BZT196713 BPX196713 BGB196713 AWF196713 AMJ196713 ACN196713 SR196713 IV196713 D196713 WVH131177 WLL131177 WBP131177 VRT131177 VHX131177 UYB131177 UOF131177 UEJ131177 TUN131177 TKR131177 TAV131177 SQZ131177 SHD131177 RXH131177 RNL131177 RDP131177 QTT131177 QJX131177 QAB131177 PQF131177 PGJ131177 OWN131177 OMR131177 OCV131177 NSZ131177 NJD131177 MZH131177 MPL131177 MFP131177 LVT131177 LLX131177 LCB131177 KSF131177 KIJ131177 JYN131177 JOR131177 JEV131177 IUZ131177 ILD131177 IBH131177 HRL131177 HHP131177 GXT131177 GNX131177 GEB131177 FUF131177 FKJ131177 FAN131177 EQR131177 EGV131177 DWZ131177 DND131177 DDH131177 CTL131177 CJP131177 BZT131177 BPX131177 BGB131177 AWF131177 AMJ131177 ACN131177 SR131177 IV131177 D131177 WVH65641 WLL65641 WBP65641 VRT65641 VHX65641 UYB65641 UOF65641 UEJ65641 TUN65641 TKR65641 TAV65641 SQZ65641 SHD65641 RXH65641 RNL65641 RDP65641 QTT65641 QJX65641 QAB65641 PQF65641 PGJ65641 OWN65641 OMR65641 OCV65641 NSZ65641 NJD65641 MZH65641 MPL65641 MFP65641 LVT65641 LLX65641 LCB65641 KSF65641 KIJ65641 JYN65641 JOR65641 JEV65641 IUZ65641 ILD65641 IBH65641 HRL65641 HHP65641 GXT65641 GNX65641 GEB65641 FUF65641 FKJ65641 FAN65641 EQR65641 EGV65641 DWZ65641 DND65641 DDH65641 CTL65641 CJP65641 BZT65641 BPX65641 BGB65641 AWF65641 AMJ65641 ACN65641 SR65641 IV65641 D65641 WVH100 WLL100 WBP100 VRT100 VHX100 UYB100 UOF100 UEJ100 TUN100 TKR100 TAV100 SQZ100 SHD100 RXH100 RNL100 RDP100 QTT100 QJX100 QAB100 PQF100 PGJ100 OWN100 OMR100 OCV100 NSZ100 NJD100 MZH100 MPL100 MFP100 LVT100 LLX100 LCB100 KSF100 KIJ100 JYN100 JOR100 JEV100 IUZ100 ILD100 IBH100 HRL100 HHP100 GXT100 GNX100 GEB100 FUF100 FKJ100 FAN100 EQR100 EGV100 DWZ100 DND100 DDH100 CTL100 CJP100 BZT100 BPX100 BGB100 AWF100 AMJ100 ACN100 SR100</xm:sqref>
        </x14:dataValidation>
        <x14:dataValidation type="list" allowBlank="1" showInputMessage="1" showErrorMessage="1">
          <x14:formula1>
            <xm:f>catalogo!$B$2:$B$3</xm:f>
          </x14:formula1>
          <xm:sqref>D16 D41 D43 D45 D47 D49 G49 D181 D193 D172</xm:sqref>
        </x14:dataValidation>
        <x14:dataValidation type="list" allowBlank="1" showInputMessage="1" showErrorMessage="1">
          <x14:formula1>
            <xm:f>catalogo!$A$2:$A$25</xm:f>
          </x14:formula1>
          <xm:sqref>D20</xm:sqref>
        </x14:dataValidation>
        <x14:dataValidation type="list" allowBlank="1" showInputMessage="1" showErrorMessage="1">
          <x14:formula1>
            <xm:f>catalogo!$C$2:$C$4</xm:f>
          </x14:formula1>
          <xm:sqref>D38</xm:sqref>
        </x14:dataValidation>
        <x14:dataValidation type="list" allowBlank="1" showInputMessage="1" showErrorMessage="1">
          <x14:formula1>
            <xm:f>catalogo!$D$2:$D$3</xm:f>
          </x14:formula1>
          <xm:sqref>D53</xm:sqref>
        </x14:dataValidation>
        <x14:dataValidation type="list" allowBlank="1" showInputMessage="1" showErrorMessage="1">
          <x14:formula1>
            <xm:f>catalogo!$E$2:$E$15</xm:f>
          </x14:formula1>
          <xm:sqref>C57:D57</xm:sqref>
        </x14:dataValidation>
        <x14:dataValidation type="list" allowBlank="1" showInputMessage="1" showErrorMessage="1">
          <x14:formula1>
            <xm:f>catalogo!$F$2:$F$4</xm:f>
          </x14:formula1>
          <xm:sqref>D77</xm:sqref>
        </x14:dataValidation>
        <x14:dataValidation type="list" allowBlank="1" showInputMessage="1" showErrorMessage="1">
          <x14:formula1>
            <xm:f>catalogo!$G$2:$G$5</xm:f>
          </x14:formula1>
          <xm:sqref>D100</xm:sqref>
        </x14:dataValidation>
        <x14:dataValidation type="list" allowBlank="1" showInputMessage="1" showErrorMessage="1">
          <x14:formula1>
            <xm:f>catalogo!$H$2:$H$5</xm:f>
          </x14:formula1>
          <xm:sqref>D102</xm:sqref>
        </x14:dataValidation>
        <x14:dataValidation type="date" operator="lessThan" allowBlank="1" showInputMessage="1" showErrorMessage="1">
          <x14:formula1>
            <xm:f>catalogo!I2</xm:f>
          </x14:formula1>
          <xm:sqref>E41</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
  <dimension ref="A2:E11"/>
  <sheetViews>
    <sheetView showGridLines="0" zoomScale="110" zoomScaleNormal="110" workbookViewId="0">
      <selection activeCell="E17" sqref="E17"/>
    </sheetView>
  </sheetViews>
  <sheetFormatPr baseColWidth="10" defaultRowHeight="15"/>
  <cols>
    <col min="1" max="1" width="19.7109375" style="1" customWidth="1"/>
    <col min="2" max="2" width="15.140625" style="1" customWidth="1"/>
    <col min="3" max="3" width="17.5703125" style="1" customWidth="1"/>
    <col min="4" max="4" width="13.28515625" style="1" customWidth="1"/>
    <col min="5" max="5" width="18" style="1" customWidth="1"/>
    <col min="6" max="6" width="24.42578125" style="1" customWidth="1"/>
    <col min="7" max="7" width="21.28515625" style="1" customWidth="1"/>
    <col min="8" max="8" width="14" style="1" customWidth="1"/>
    <col min="9" max="9" width="33.42578125" style="1" customWidth="1"/>
    <col min="10" max="10" width="21.42578125" style="1" customWidth="1"/>
    <col min="11" max="11" width="5" style="1" customWidth="1"/>
    <col min="12" max="16384" width="11.42578125" style="1"/>
  </cols>
  <sheetData>
    <row r="2" spans="1:5">
      <c r="A2" s="48" t="s">
        <v>159</v>
      </c>
    </row>
    <row r="3" spans="1:5" ht="18.75">
      <c r="B3" s="275" t="s">
        <v>4</v>
      </c>
      <c r="C3" s="276"/>
      <c r="D3" s="277"/>
    </row>
    <row r="5" spans="1:5">
      <c r="B5" s="4" t="s">
        <v>7</v>
      </c>
      <c r="C5" s="5" t="s">
        <v>160</v>
      </c>
      <c r="D5" s="2"/>
    </row>
    <row r="7" spans="1:5">
      <c r="B7" s="4" t="s">
        <v>10</v>
      </c>
      <c r="C7" s="6" t="s">
        <v>161</v>
      </c>
      <c r="D7" s="4" t="s">
        <v>11</v>
      </c>
      <c r="E7" s="6" t="s">
        <v>162</v>
      </c>
    </row>
    <row r="8" spans="1:5">
      <c r="C8" s="7"/>
    </row>
    <row r="9" spans="1:5">
      <c r="B9" s="4" t="s">
        <v>14</v>
      </c>
      <c r="C9" s="8" t="s">
        <v>163</v>
      </c>
      <c r="D9" s="9"/>
    </row>
    <row r="11" spans="1:5">
      <c r="B11" s="4" t="s">
        <v>17</v>
      </c>
      <c r="C11" s="10" t="s">
        <v>0</v>
      </c>
      <c r="D11" s="9"/>
    </row>
  </sheetData>
  <sheetProtection password="86F2" sheet="1" objects="1" scenarios="1"/>
  <mergeCells count="1">
    <mergeCell ref="B3:D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Hoja2"/>
  <dimension ref="A2:F16"/>
  <sheetViews>
    <sheetView zoomScale="110" zoomScaleNormal="110" workbookViewId="0"/>
  </sheetViews>
  <sheetFormatPr baseColWidth="10" defaultRowHeight="15"/>
  <cols>
    <col min="1" max="1" width="15.140625" style="1" customWidth="1"/>
    <col min="2" max="2" width="35" style="1" customWidth="1"/>
    <col min="3" max="3" width="19.5703125" style="1" customWidth="1"/>
    <col min="4" max="4" width="11.42578125" style="1"/>
    <col min="5" max="5" width="23" style="1" customWidth="1"/>
    <col min="6" max="6" width="18.140625" style="1" customWidth="1"/>
    <col min="7" max="16384" width="11.42578125" style="1"/>
  </cols>
  <sheetData>
    <row r="2" spans="1:6">
      <c r="A2" s="48" t="s">
        <v>159</v>
      </c>
    </row>
    <row r="3" spans="1:6">
      <c r="B3" s="49" t="s">
        <v>20</v>
      </c>
    </row>
    <row r="5" spans="1:6">
      <c r="B5" s="50" t="s">
        <v>23</v>
      </c>
      <c r="C5" s="10" t="s">
        <v>13</v>
      </c>
    </row>
    <row r="7" spans="1:6">
      <c r="B7" s="50" t="s">
        <v>26</v>
      </c>
      <c r="C7" s="10" t="s">
        <v>164</v>
      </c>
      <c r="D7" s="2"/>
    </row>
    <row r="9" spans="1:6">
      <c r="B9" s="50" t="s">
        <v>29</v>
      </c>
      <c r="C9" s="10" t="s">
        <v>165</v>
      </c>
      <c r="D9" s="2"/>
    </row>
    <row r="11" spans="1:6">
      <c r="B11" s="278" t="s">
        <v>32</v>
      </c>
      <c r="C11" s="279" t="s">
        <v>211</v>
      </c>
      <c r="D11" s="280"/>
      <c r="E11" s="281"/>
    </row>
    <row r="12" spans="1:6">
      <c r="B12" s="278"/>
      <c r="C12" s="282"/>
      <c r="D12" s="283"/>
      <c r="E12" s="284"/>
    </row>
    <row r="14" spans="1:6">
      <c r="B14" s="50" t="s">
        <v>36</v>
      </c>
      <c r="C14" s="11">
        <v>32132654</v>
      </c>
      <c r="D14" s="51">
        <v>4512</v>
      </c>
      <c r="E14" s="50" t="s">
        <v>37</v>
      </c>
      <c r="F14" s="12">
        <v>998820297</v>
      </c>
    </row>
    <row r="16" spans="1:6" ht="30" customHeight="1">
      <c r="B16" s="50" t="s">
        <v>158</v>
      </c>
      <c r="C16" s="52" t="s">
        <v>166</v>
      </c>
      <c r="E16" s="53" t="s">
        <v>41</v>
      </c>
      <c r="F16" s="52" t="s">
        <v>167</v>
      </c>
    </row>
  </sheetData>
  <sheetProtection password="86F2" sheet="1" objects="1" scenarios="1"/>
  <mergeCells count="2">
    <mergeCell ref="B11:B12"/>
    <mergeCell ref="C11:E12"/>
  </mergeCells>
  <hyperlinks>
    <hyperlink ref="C16" r:id="rId1"/>
    <hyperlink ref="F16" r:id="rId2"/>
  </hyperlinks>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sheetPr codeName="Hoja3"/>
  <dimension ref="A2:D60"/>
  <sheetViews>
    <sheetView zoomScale="90" zoomScaleNormal="90" workbookViewId="0"/>
  </sheetViews>
  <sheetFormatPr baseColWidth="10" defaultRowHeight="15"/>
  <cols>
    <col min="1" max="1" width="23.42578125" style="1" customWidth="1"/>
    <col min="2" max="2" width="29.85546875" style="1" customWidth="1"/>
    <col min="3" max="3" width="42.85546875" style="1" customWidth="1"/>
    <col min="4" max="4" width="46.7109375" style="1" customWidth="1"/>
    <col min="5" max="16384" width="11.42578125" style="1"/>
  </cols>
  <sheetData>
    <row r="2" spans="1:4" ht="18.75">
      <c r="A2" s="48" t="s">
        <v>159</v>
      </c>
      <c r="B2" s="292" t="s">
        <v>4</v>
      </c>
      <c r="C2" s="293"/>
      <c r="D2"/>
    </row>
    <row r="4" spans="1:4">
      <c r="B4" s="4" t="s">
        <v>43</v>
      </c>
      <c r="C4" s="8"/>
    </row>
    <row r="5" spans="1:4">
      <c r="B5" s="3"/>
      <c r="C5" s="15"/>
    </row>
    <row r="6" spans="1:4" ht="46.5" customHeight="1">
      <c r="B6" s="285" t="s">
        <v>214</v>
      </c>
      <c r="C6" s="286"/>
    </row>
    <row r="7" spans="1:4" ht="36" customHeight="1">
      <c r="B7" s="287"/>
      <c r="C7" s="288"/>
    </row>
    <row r="8" spans="1:4" ht="29.25" customHeight="1">
      <c r="B8" s="287"/>
      <c r="C8" s="288"/>
    </row>
    <row r="9" spans="1:4" ht="46.5" customHeight="1">
      <c r="B9" s="287"/>
      <c r="C9" s="288"/>
    </row>
    <row r="10" spans="1:4" ht="46.5" customHeight="1">
      <c r="B10" s="289"/>
      <c r="C10" s="288"/>
    </row>
    <row r="11" spans="1:4" ht="23.25" customHeight="1">
      <c r="B11" s="289"/>
      <c r="C11" s="288"/>
    </row>
    <row r="12" spans="1:4" ht="10.5" customHeight="1">
      <c r="B12" s="290"/>
      <c r="C12" s="291"/>
    </row>
    <row r="14" spans="1:4">
      <c r="B14" s="4" t="s">
        <v>44</v>
      </c>
      <c r="C14" s="8"/>
    </row>
    <row r="16" spans="1:4">
      <c r="B16" s="294" t="s">
        <v>215</v>
      </c>
      <c r="C16" s="295"/>
    </row>
    <row r="17" spans="2:3">
      <c r="B17" s="296"/>
      <c r="C17" s="297"/>
    </row>
    <row r="18" spans="2:3">
      <c r="B18" s="296"/>
      <c r="C18" s="297"/>
    </row>
    <row r="19" spans="2:3">
      <c r="B19" s="296"/>
      <c r="C19" s="297"/>
    </row>
    <row r="20" spans="2:3">
      <c r="B20" s="296"/>
      <c r="C20" s="297"/>
    </row>
    <row r="21" spans="2:3">
      <c r="B21" s="296"/>
      <c r="C21" s="297"/>
    </row>
    <row r="22" spans="2:3">
      <c r="B22" s="296"/>
      <c r="C22" s="297"/>
    </row>
    <row r="23" spans="2:3">
      <c r="B23" s="296"/>
      <c r="C23" s="297"/>
    </row>
    <row r="24" spans="2:3">
      <c r="B24" s="296"/>
      <c r="C24" s="297"/>
    </row>
    <row r="25" spans="2:3">
      <c r="B25" s="296"/>
      <c r="C25" s="297"/>
    </row>
    <row r="26" spans="2:3">
      <c r="B26" s="296"/>
      <c r="C26" s="297"/>
    </row>
    <row r="27" spans="2:3">
      <c r="B27" s="296"/>
      <c r="C27" s="297"/>
    </row>
    <row r="28" spans="2:3">
      <c r="B28" s="296"/>
      <c r="C28" s="297"/>
    </row>
    <row r="29" spans="2:3">
      <c r="B29" s="296"/>
      <c r="C29" s="297"/>
    </row>
    <row r="30" spans="2:3">
      <c r="B30" s="296"/>
      <c r="C30" s="297"/>
    </row>
    <row r="31" spans="2:3">
      <c r="B31" s="296"/>
      <c r="C31" s="297"/>
    </row>
    <row r="32" spans="2:3">
      <c r="B32" s="296"/>
      <c r="C32" s="297"/>
    </row>
    <row r="33" spans="2:3">
      <c r="B33" s="296"/>
      <c r="C33" s="297"/>
    </row>
    <row r="34" spans="2:3">
      <c r="B34" s="296"/>
      <c r="C34" s="297"/>
    </row>
    <row r="35" spans="2:3">
      <c r="B35" s="296"/>
      <c r="C35" s="297"/>
    </row>
    <row r="36" spans="2:3">
      <c r="B36" s="296"/>
      <c r="C36" s="297"/>
    </row>
    <row r="37" spans="2:3">
      <c r="B37" s="296"/>
      <c r="C37" s="297"/>
    </row>
    <row r="38" spans="2:3">
      <c r="B38" s="296"/>
      <c r="C38" s="297"/>
    </row>
    <row r="39" spans="2:3">
      <c r="B39" s="296"/>
      <c r="C39" s="297"/>
    </row>
    <row r="40" spans="2:3">
      <c r="B40" s="296"/>
      <c r="C40" s="297"/>
    </row>
    <row r="41" spans="2:3">
      <c r="B41" s="296"/>
      <c r="C41" s="297"/>
    </row>
    <row r="42" spans="2:3">
      <c r="B42" s="296"/>
      <c r="C42" s="297"/>
    </row>
    <row r="43" spans="2:3">
      <c r="B43" s="296"/>
      <c r="C43" s="297"/>
    </row>
    <row r="44" spans="2:3">
      <c r="B44" s="296"/>
      <c r="C44" s="297"/>
    </row>
    <row r="45" spans="2:3">
      <c r="B45" s="296"/>
      <c r="C45" s="297"/>
    </row>
    <row r="46" spans="2:3">
      <c r="B46" s="296"/>
      <c r="C46" s="297"/>
    </row>
    <row r="47" spans="2:3">
      <c r="B47" s="296"/>
      <c r="C47" s="297"/>
    </row>
    <row r="48" spans="2:3">
      <c r="B48" s="296"/>
      <c r="C48" s="297"/>
    </row>
    <row r="49" spans="2:4">
      <c r="B49" s="296"/>
      <c r="C49" s="297"/>
    </row>
    <row r="50" spans="2:4">
      <c r="B50" s="296"/>
      <c r="C50" s="297"/>
    </row>
    <row r="51" spans="2:4">
      <c r="B51" s="296"/>
      <c r="C51" s="297"/>
    </row>
    <row r="52" spans="2:4">
      <c r="B52" s="296"/>
      <c r="C52" s="297"/>
    </row>
    <row r="53" spans="2:4">
      <c r="B53" s="296"/>
      <c r="C53" s="297"/>
    </row>
    <row r="54" spans="2:4">
      <c r="B54" s="298"/>
      <c r="C54" s="299"/>
    </row>
    <row r="57" spans="2:4">
      <c r="B57" s="57" t="s">
        <v>177</v>
      </c>
      <c r="C57" s="57" t="s">
        <v>176</v>
      </c>
      <c r="D57" s="57" t="s">
        <v>175</v>
      </c>
    </row>
    <row r="58" spans="2:4" ht="45">
      <c r="B58" s="56" t="s">
        <v>174</v>
      </c>
      <c r="C58" s="56" t="s">
        <v>173</v>
      </c>
      <c r="D58" s="85" t="s">
        <v>212</v>
      </c>
    </row>
    <row r="59" spans="2:4" ht="60">
      <c r="B59" s="10" t="s">
        <v>172</v>
      </c>
      <c r="C59" s="10" t="s">
        <v>171</v>
      </c>
      <c r="D59" s="86" t="s">
        <v>213</v>
      </c>
    </row>
    <row r="60" spans="2:4" ht="60">
      <c r="B60" s="10" t="s">
        <v>170</v>
      </c>
      <c r="C60" s="10" t="s">
        <v>169</v>
      </c>
      <c r="D60" s="54" t="s">
        <v>168</v>
      </c>
    </row>
  </sheetData>
  <sheetProtection password="86F2" sheet="1" objects="1" scenarios="1"/>
  <mergeCells count="3">
    <mergeCell ref="B6:C12"/>
    <mergeCell ref="B2:C2"/>
    <mergeCell ref="B16:C54"/>
  </mergeCells>
  <dataValidations count="1">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71 IY65571 SU65571 ACQ65571 AMM65571 AWI65571 BGE65571 BQA65571 BZW65571 CJS65571 CTO65571 DDK65571 DNG65571 DXC65571 EGY65571 EQU65571 FAQ65571 FKM65571 FUI65571 GEE65571 GOA65571 GXW65571 HHS65571 HRO65571 IBK65571 ILG65571 IVC65571 JEY65571 JOU65571 JYQ65571 KIM65571 KSI65571 LCE65571 LMA65571 LVW65571 MFS65571 MPO65571 MZK65571 NJG65571 NTC65571 OCY65571 OMU65571 OWQ65571 PGM65571 PQI65571 QAE65571 QKA65571 QTW65571 RDS65571 RNO65571 RXK65571 SHG65571 SRC65571 TAY65571 TKU65571 TUQ65571 UEM65571 UOI65571 UYE65571 VIA65571 VRW65571 WBS65571 WLO65571 WVK65571 C131107 IY131107 SU131107 ACQ131107 AMM131107 AWI131107 BGE131107 BQA131107 BZW131107 CJS131107 CTO131107 DDK131107 DNG131107 DXC131107 EGY131107 EQU131107 FAQ131107 FKM131107 FUI131107 GEE131107 GOA131107 GXW131107 HHS131107 HRO131107 IBK131107 ILG131107 IVC131107 JEY131107 JOU131107 JYQ131107 KIM131107 KSI131107 LCE131107 LMA131107 LVW131107 MFS131107 MPO131107 MZK131107 NJG131107 NTC131107 OCY131107 OMU131107 OWQ131107 PGM131107 PQI131107 QAE131107 QKA131107 QTW131107 RDS131107 RNO131107 RXK131107 SHG131107 SRC131107 TAY131107 TKU131107 TUQ131107 UEM131107 UOI131107 UYE131107 VIA131107 VRW131107 WBS131107 WLO131107 WVK131107 C196643 IY196643 SU196643 ACQ196643 AMM196643 AWI196643 BGE196643 BQA196643 BZW196643 CJS196643 CTO196643 DDK196643 DNG196643 DXC196643 EGY196643 EQU196643 FAQ196643 FKM196643 FUI196643 GEE196643 GOA196643 GXW196643 HHS196643 HRO196643 IBK196643 ILG196643 IVC196643 JEY196643 JOU196643 JYQ196643 KIM196643 KSI196643 LCE196643 LMA196643 LVW196643 MFS196643 MPO196643 MZK196643 NJG196643 NTC196643 OCY196643 OMU196643 OWQ196643 PGM196643 PQI196643 QAE196643 QKA196643 QTW196643 RDS196643 RNO196643 RXK196643 SHG196643 SRC196643 TAY196643 TKU196643 TUQ196643 UEM196643 UOI196643 UYE196643 VIA196643 VRW196643 WBS196643 WLO196643 WVK196643 C262179 IY262179 SU262179 ACQ262179 AMM262179 AWI262179 BGE262179 BQA262179 BZW262179 CJS262179 CTO262179 DDK262179 DNG262179 DXC262179 EGY262179 EQU262179 FAQ262179 FKM262179 FUI262179 GEE262179 GOA262179 GXW262179 HHS262179 HRO262179 IBK262179 ILG262179 IVC262179 JEY262179 JOU262179 JYQ262179 KIM262179 KSI262179 LCE262179 LMA262179 LVW262179 MFS262179 MPO262179 MZK262179 NJG262179 NTC262179 OCY262179 OMU262179 OWQ262179 PGM262179 PQI262179 QAE262179 QKA262179 QTW262179 RDS262179 RNO262179 RXK262179 SHG262179 SRC262179 TAY262179 TKU262179 TUQ262179 UEM262179 UOI262179 UYE262179 VIA262179 VRW262179 WBS262179 WLO262179 WVK262179 C327715 IY327715 SU327715 ACQ327715 AMM327715 AWI327715 BGE327715 BQA327715 BZW327715 CJS327715 CTO327715 DDK327715 DNG327715 DXC327715 EGY327715 EQU327715 FAQ327715 FKM327715 FUI327715 GEE327715 GOA327715 GXW327715 HHS327715 HRO327715 IBK327715 ILG327715 IVC327715 JEY327715 JOU327715 JYQ327715 KIM327715 KSI327715 LCE327715 LMA327715 LVW327715 MFS327715 MPO327715 MZK327715 NJG327715 NTC327715 OCY327715 OMU327715 OWQ327715 PGM327715 PQI327715 QAE327715 QKA327715 QTW327715 RDS327715 RNO327715 RXK327715 SHG327715 SRC327715 TAY327715 TKU327715 TUQ327715 UEM327715 UOI327715 UYE327715 VIA327715 VRW327715 WBS327715 WLO327715 WVK327715 C393251 IY393251 SU393251 ACQ393251 AMM393251 AWI393251 BGE393251 BQA393251 BZW393251 CJS393251 CTO393251 DDK393251 DNG393251 DXC393251 EGY393251 EQU393251 FAQ393251 FKM393251 FUI393251 GEE393251 GOA393251 GXW393251 HHS393251 HRO393251 IBK393251 ILG393251 IVC393251 JEY393251 JOU393251 JYQ393251 KIM393251 KSI393251 LCE393251 LMA393251 LVW393251 MFS393251 MPO393251 MZK393251 NJG393251 NTC393251 OCY393251 OMU393251 OWQ393251 PGM393251 PQI393251 QAE393251 QKA393251 QTW393251 RDS393251 RNO393251 RXK393251 SHG393251 SRC393251 TAY393251 TKU393251 TUQ393251 UEM393251 UOI393251 UYE393251 VIA393251 VRW393251 WBS393251 WLO393251 WVK393251 C458787 IY458787 SU458787 ACQ458787 AMM458787 AWI458787 BGE458787 BQA458787 BZW458787 CJS458787 CTO458787 DDK458787 DNG458787 DXC458787 EGY458787 EQU458787 FAQ458787 FKM458787 FUI458787 GEE458787 GOA458787 GXW458787 HHS458787 HRO458787 IBK458787 ILG458787 IVC458787 JEY458787 JOU458787 JYQ458787 KIM458787 KSI458787 LCE458787 LMA458787 LVW458787 MFS458787 MPO458787 MZK458787 NJG458787 NTC458787 OCY458787 OMU458787 OWQ458787 PGM458787 PQI458787 QAE458787 QKA458787 QTW458787 RDS458787 RNO458787 RXK458787 SHG458787 SRC458787 TAY458787 TKU458787 TUQ458787 UEM458787 UOI458787 UYE458787 VIA458787 VRW458787 WBS458787 WLO458787 WVK458787 C524323 IY524323 SU524323 ACQ524323 AMM524323 AWI524323 BGE524323 BQA524323 BZW524323 CJS524323 CTO524323 DDK524323 DNG524323 DXC524323 EGY524323 EQU524323 FAQ524323 FKM524323 FUI524323 GEE524323 GOA524323 GXW524323 HHS524323 HRO524323 IBK524323 ILG524323 IVC524323 JEY524323 JOU524323 JYQ524323 KIM524323 KSI524323 LCE524323 LMA524323 LVW524323 MFS524323 MPO524323 MZK524323 NJG524323 NTC524323 OCY524323 OMU524323 OWQ524323 PGM524323 PQI524323 QAE524323 QKA524323 QTW524323 RDS524323 RNO524323 RXK524323 SHG524323 SRC524323 TAY524323 TKU524323 TUQ524323 UEM524323 UOI524323 UYE524323 VIA524323 VRW524323 WBS524323 WLO524323 WVK524323 C589859 IY589859 SU589859 ACQ589859 AMM589859 AWI589859 BGE589859 BQA589859 BZW589859 CJS589859 CTO589859 DDK589859 DNG589859 DXC589859 EGY589859 EQU589859 FAQ589859 FKM589859 FUI589859 GEE589859 GOA589859 GXW589859 HHS589859 HRO589859 IBK589859 ILG589859 IVC589859 JEY589859 JOU589859 JYQ589859 KIM589859 KSI589859 LCE589859 LMA589859 LVW589859 MFS589859 MPO589859 MZK589859 NJG589859 NTC589859 OCY589859 OMU589859 OWQ589859 PGM589859 PQI589859 QAE589859 QKA589859 QTW589859 RDS589859 RNO589859 RXK589859 SHG589859 SRC589859 TAY589859 TKU589859 TUQ589859 UEM589859 UOI589859 UYE589859 VIA589859 VRW589859 WBS589859 WLO589859 WVK589859 C655395 IY655395 SU655395 ACQ655395 AMM655395 AWI655395 BGE655395 BQA655395 BZW655395 CJS655395 CTO655395 DDK655395 DNG655395 DXC655395 EGY655395 EQU655395 FAQ655395 FKM655395 FUI655395 GEE655395 GOA655395 GXW655395 HHS655395 HRO655395 IBK655395 ILG655395 IVC655395 JEY655395 JOU655395 JYQ655395 KIM655395 KSI655395 LCE655395 LMA655395 LVW655395 MFS655395 MPO655395 MZK655395 NJG655395 NTC655395 OCY655395 OMU655395 OWQ655395 PGM655395 PQI655395 QAE655395 QKA655395 QTW655395 RDS655395 RNO655395 RXK655395 SHG655395 SRC655395 TAY655395 TKU655395 TUQ655395 UEM655395 UOI655395 UYE655395 VIA655395 VRW655395 WBS655395 WLO655395 WVK655395 C720931 IY720931 SU720931 ACQ720931 AMM720931 AWI720931 BGE720931 BQA720931 BZW720931 CJS720931 CTO720931 DDK720931 DNG720931 DXC720931 EGY720931 EQU720931 FAQ720931 FKM720931 FUI720931 GEE720931 GOA720931 GXW720931 HHS720931 HRO720931 IBK720931 ILG720931 IVC720931 JEY720931 JOU720931 JYQ720931 KIM720931 KSI720931 LCE720931 LMA720931 LVW720931 MFS720931 MPO720931 MZK720931 NJG720931 NTC720931 OCY720931 OMU720931 OWQ720931 PGM720931 PQI720931 QAE720931 QKA720931 QTW720931 RDS720931 RNO720931 RXK720931 SHG720931 SRC720931 TAY720931 TKU720931 TUQ720931 UEM720931 UOI720931 UYE720931 VIA720931 VRW720931 WBS720931 WLO720931 WVK720931 C786467 IY786467 SU786467 ACQ786467 AMM786467 AWI786467 BGE786467 BQA786467 BZW786467 CJS786467 CTO786467 DDK786467 DNG786467 DXC786467 EGY786467 EQU786467 FAQ786467 FKM786467 FUI786467 GEE786467 GOA786467 GXW786467 HHS786467 HRO786467 IBK786467 ILG786467 IVC786467 JEY786467 JOU786467 JYQ786467 KIM786467 KSI786467 LCE786467 LMA786467 LVW786467 MFS786467 MPO786467 MZK786467 NJG786467 NTC786467 OCY786467 OMU786467 OWQ786467 PGM786467 PQI786467 QAE786467 QKA786467 QTW786467 RDS786467 RNO786467 RXK786467 SHG786467 SRC786467 TAY786467 TKU786467 TUQ786467 UEM786467 UOI786467 UYE786467 VIA786467 VRW786467 WBS786467 WLO786467 WVK786467 C852003 IY852003 SU852003 ACQ852003 AMM852003 AWI852003 BGE852003 BQA852003 BZW852003 CJS852003 CTO852003 DDK852003 DNG852003 DXC852003 EGY852003 EQU852003 FAQ852003 FKM852003 FUI852003 GEE852003 GOA852003 GXW852003 HHS852003 HRO852003 IBK852003 ILG852003 IVC852003 JEY852003 JOU852003 JYQ852003 KIM852003 KSI852003 LCE852003 LMA852003 LVW852003 MFS852003 MPO852003 MZK852003 NJG852003 NTC852003 OCY852003 OMU852003 OWQ852003 PGM852003 PQI852003 QAE852003 QKA852003 QTW852003 RDS852003 RNO852003 RXK852003 SHG852003 SRC852003 TAY852003 TKU852003 TUQ852003 UEM852003 UOI852003 UYE852003 VIA852003 VRW852003 WBS852003 WLO852003 WVK852003 C917539 IY917539 SU917539 ACQ917539 AMM917539 AWI917539 BGE917539 BQA917539 BZW917539 CJS917539 CTO917539 DDK917539 DNG917539 DXC917539 EGY917539 EQU917539 FAQ917539 FKM917539 FUI917539 GEE917539 GOA917539 GXW917539 HHS917539 HRO917539 IBK917539 ILG917539 IVC917539 JEY917539 JOU917539 JYQ917539 KIM917539 KSI917539 LCE917539 LMA917539 LVW917539 MFS917539 MPO917539 MZK917539 NJG917539 NTC917539 OCY917539 OMU917539 OWQ917539 PGM917539 PQI917539 QAE917539 QKA917539 QTW917539 RDS917539 RNO917539 RXK917539 SHG917539 SRC917539 TAY917539 TKU917539 TUQ917539 UEM917539 UOI917539 UYE917539 VIA917539 VRW917539 WBS917539 WLO917539 WVK917539 C983075 IY983075 SU983075 ACQ983075 AMM983075 AWI983075 BGE983075 BQA983075 BZW983075 CJS983075 CTO983075 DDK983075 DNG983075 DXC983075 EGY983075 EQU983075 FAQ983075 FKM983075 FUI983075 GEE983075 GOA983075 GXW983075 HHS983075 HRO983075 IBK983075 ILG983075 IVC983075 JEY983075 JOU983075 JYQ983075 KIM983075 KSI983075 LCE983075 LMA983075 LVW983075 MFS983075 MPO983075 MZK983075 NJG983075 NTC983075 OCY983075 OMU983075 OWQ983075 PGM983075 PQI983075 QAE983075 QKA983075 QTW983075 RDS983075 RNO983075 RXK983075 SHG983075 SRC983075 TAY983075 TKU983075 TUQ983075 UEM983075 UOI983075 UYE983075 VIA983075 VRW983075 WBS983075 WLO983075 WVK983075">
      <formula1>$IN$60:$IN$62</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Hoja4"/>
  <dimension ref="A2:D15"/>
  <sheetViews>
    <sheetView workbookViewId="0"/>
  </sheetViews>
  <sheetFormatPr baseColWidth="10" defaultRowHeight="15"/>
  <cols>
    <col min="1" max="1" width="18.42578125" style="1" customWidth="1"/>
    <col min="2" max="2" width="25.140625" style="1" customWidth="1"/>
    <col min="3" max="3" width="27.5703125" style="1" customWidth="1"/>
    <col min="4" max="16384" width="11.42578125" style="1"/>
  </cols>
  <sheetData>
    <row r="2" spans="1:4">
      <c r="A2" s="48" t="s">
        <v>159</v>
      </c>
    </row>
    <row r="3" spans="1:4" ht="18.75">
      <c r="B3" s="59" t="s">
        <v>55</v>
      </c>
      <c r="C3" s="58"/>
      <c r="D3"/>
    </row>
    <row r="5" spans="1:4">
      <c r="B5" s="4" t="s">
        <v>56</v>
      </c>
      <c r="C5" s="16"/>
      <c r="D5" s="2"/>
    </row>
    <row r="7" spans="1:4" ht="20.25" customHeight="1">
      <c r="B7" s="294" t="s">
        <v>195</v>
      </c>
      <c r="C7" s="300"/>
    </row>
    <row r="8" spans="1:4" ht="20.25" customHeight="1">
      <c r="B8" s="301"/>
      <c r="C8" s="302"/>
    </row>
    <row r="9" spans="1:4" ht="20.25" customHeight="1">
      <c r="B9" s="301"/>
      <c r="C9" s="302"/>
      <c r="D9" s="2"/>
    </row>
    <row r="10" spans="1:4" ht="20.25" customHeight="1">
      <c r="B10" s="301"/>
      <c r="C10" s="302"/>
    </row>
    <row r="11" spans="1:4" ht="20.25" customHeight="1">
      <c r="B11" s="301"/>
      <c r="C11" s="302"/>
    </row>
    <row r="12" spans="1:4" ht="20.25" customHeight="1">
      <c r="B12" s="301"/>
      <c r="C12" s="302"/>
    </row>
    <row r="13" spans="1:4" ht="20.25" customHeight="1">
      <c r="B13" s="301"/>
      <c r="C13" s="302"/>
    </row>
    <row r="14" spans="1:4" ht="20.25" customHeight="1">
      <c r="B14" s="301"/>
      <c r="C14" s="302"/>
    </row>
    <row r="15" spans="1:4" ht="28.5" customHeight="1">
      <c r="B15" s="303"/>
      <c r="C15" s="304"/>
    </row>
  </sheetData>
  <sheetProtection password="86F2" sheet="1" objects="1" scenarios="1"/>
  <mergeCells count="1">
    <mergeCell ref="B7:C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Hoja7"/>
  <dimension ref="A2:C32"/>
  <sheetViews>
    <sheetView zoomScale="70" zoomScaleNormal="70" workbookViewId="0"/>
  </sheetViews>
  <sheetFormatPr baseColWidth="10" defaultRowHeight="15"/>
  <cols>
    <col min="1" max="1" width="28.28515625" style="1" customWidth="1"/>
    <col min="2" max="2" width="36.42578125" style="1" customWidth="1"/>
    <col min="3" max="3" width="69.5703125" style="1" customWidth="1"/>
    <col min="4" max="16384" width="11.42578125" style="1"/>
  </cols>
  <sheetData>
    <row r="2" spans="1:3">
      <c r="A2" s="48" t="s">
        <v>183</v>
      </c>
    </row>
    <row r="3" spans="1:3" ht="140.25" customHeight="1">
      <c r="B3" s="14" t="s">
        <v>78</v>
      </c>
      <c r="C3" s="60" t="s">
        <v>216</v>
      </c>
    </row>
    <row r="5" spans="1:3">
      <c r="B5" s="313" t="s">
        <v>82</v>
      </c>
      <c r="C5" s="314"/>
    </row>
    <row r="6" spans="1:3">
      <c r="B6" s="306" t="s">
        <v>182</v>
      </c>
      <c r="C6" s="307"/>
    </row>
    <row r="7" spans="1:3">
      <c r="B7" s="308"/>
      <c r="C7" s="309"/>
    </row>
    <row r="8" spans="1:3" ht="17.25" customHeight="1">
      <c r="B8" s="310"/>
      <c r="C8" s="311"/>
    </row>
    <row r="9" spans="1:3">
      <c r="B9" s="17"/>
      <c r="C9" s="17"/>
    </row>
    <row r="10" spans="1:3">
      <c r="B10" s="313" t="s">
        <v>208</v>
      </c>
      <c r="C10" s="314"/>
    </row>
    <row r="11" spans="1:3">
      <c r="B11" s="306" t="s">
        <v>181</v>
      </c>
      <c r="C11" s="307"/>
    </row>
    <row r="12" spans="1:3">
      <c r="B12" s="308"/>
      <c r="C12" s="309"/>
    </row>
    <row r="13" spans="1:3" ht="29.25" customHeight="1">
      <c r="B13" s="310"/>
      <c r="C13" s="311"/>
    </row>
    <row r="15" spans="1:3" ht="37.5" customHeight="1">
      <c r="B15" s="313" t="s">
        <v>84</v>
      </c>
      <c r="C15" s="314"/>
    </row>
    <row r="16" spans="1:3">
      <c r="B16" s="306" t="s">
        <v>180</v>
      </c>
      <c r="C16" s="307"/>
    </row>
    <row r="17" spans="2:3">
      <c r="B17" s="308"/>
      <c r="C17" s="309"/>
    </row>
    <row r="18" spans="2:3">
      <c r="B18" s="310"/>
      <c r="C18" s="311"/>
    </row>
    <row r="19" spans="2:3">
      <c r="B19" s="17"/>
      <c r="C19" s="17"/>
    </row>
    <row r="20" spans="2:3">
      <c r="B20" s="305" t="s">
        <v>85</v>
      </c>
      <c r="C20" s="305"/>
    </row>
    <row r="21" spans="2:3">
      <c r="B21" s="306" t="s">
        <v>179</v>
      </c>
      <c r="C21" s="307"/>
    </row>
    <row r="22" spans="2:3">
      <c r="B22" s="308"/>
      <c r="C22" s="309"/>
    </row>
    <row r="23" spans="2:3" ht="25.5" customHeight="1">
      <c r="B23" s="310"/>
      <c r="C23" s="311"/>
    </row>
    <row r="25" spans="2:3" ht="112.5" customHeight="1">
      <c r="B25" s="18" t="s">
        <v>90</v>
      </c>
      <c r="C25" s="55" t="s">
        <v>196</v>
      </c>
    </row>
    <row r="27" spans="2:3" ht="112.5" customHeight="1">
      <c r="B27" s="18" t="s">
        <v>93</v>
      </c>
      <c r="C27" s="55" t="s">
        <v>217</v>
      </c>
    </row>
    <row r="28" spans="2:3">
      <c r="B28" s="19"/>
      <c r="C28" s="16"/>
    </row>
    <row r="29" spans="2:3">
      <c r="B29" s="312" t="s">
        <v>96</v>
      </c>
      <c r="C29" s="312"/>
    </row>
    <row r="30" spans="2:3">
      <c r="B30" s="306" t="s">
        <v>178</v>
      </c>
      <c r="C30" s="307"/>
    </row>
    <row r="31" spans="2:3">
      <c r="B31" s="308"/>
      <c r="C31" s="309"/>
    </row>
    <row r="32" spans="2:3" ht="25.5" customHeight="1">
      <c r="B32" s="310"/>
      <c r="C32" s="311"/>
    </row>
  </sheetData>
  <sheetProtection password="86F2" sheet="1" objects="1" scenarios="1"/>
  <mergeCells count="10">
    <mergeCell ref="B20:C20"/>
    <mergeCell ref="B21:C23"/>
    <mergeCell ref="B29:C29"/>
    <mergeCell ref="B30:C32"/>
    <mergeCell ref="B5:C5"/>
    <mergeCell ref="B6:C8"/>
    <mergeCell ref="B10:C10"/>
    <mergeCell ref="B11:C13"/>
    <mergeCell ref="B15:C15"/>
    <mergeCell ref="B16:C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Hoja8"/>
  <dimension ref="A2:S31"/>
  <sheetViews>
    <sheetView zoomScale="80" zoomScaleNormal="80" workbookViewId="0"/>
  </sheetViews>
  <sheetFormatPr baseColWidth="10" defaultRowHeight="15"/>
  <cols>
    <col min="1" max="1" width="21.85546875" style="1" customWidth="1"/>
    <col min="2" max="9" width="11.42578125" style="1"/>
    <col min="10" max="10" width="5.28515625" style="1" customWidth="1"/>
    <col min="11" max="11" width="5.85546875" style="1" customWidth="1"/>
    <col min="12" max="16384" width="11.42578125" style="1"/>
  </cols>
  <sheetData>
    <row r="2" spans="1:19">
      <c r="A2" s="48" t="s">
        <v>183</v>
      </c>
    </row>
    <row r="3" spans="1:19">
      <c r="B3" s="315" t="s">
        <v>187</v>
      </c>
      <c r="C3" s="316"/>
      <c r="D3" s="316"/>
      <c r="E3" s="317"/>
      <c r="L3" s="321" t="s">
        <v>186</v>
      </c>
      <c r="M3" s="322"/>
      <c r="N3" s="322"/>
      <c r="O3" s="323"/>
    </row>
    <row r="4" spans="1:19">
      <c r="B4" s="318"/>
      <c r="C4" s="319"/>
      <c r="D4" s="319"/>
      <c r="E4" s="320"/>
      <c r="L4" s="324"/>
      <c r="M4" s="325"/>
      <c r="N4" s="325"/>
      <c r="O4" s="326"/>
    </row>
    <row r="6" spans="1:19" ht="21">
      <c r="A6" s="70" t="s">
        <v>197</v>
      </c>
    </row>
    <row r="7" spans="1:19" ht="15" customHeight="1">
      <c r="B7" s="330" t="s">
        <v>185</v>
      </c>
      <c r="C7" s="330"/>
      <c r="D7" s="330"/>
      <c r="E7" s="330"/>
      <c r="F7" s="330"/>
      <c r="G7" s="330"/>
      <c r="H7" s="330"/>
      <c r="I7" s="330"/>
      <c r="L7" s="294" t="s">
        <v>184</v>
      </c>
      <c r="M7" s="327"/>
      <c r="N7" s="327"/>
      <c r="O7" s="327"/>
      <c r="P7" s="327"/>
      <c r="Q7" s="327"/>
      <c r="R7" s="327"/>
      <c r="S7" s="300"/>
    </row>
    <row r="8" spans="1:19">
      <c r="B8" s="330"/>
      <c r="C8" s="330"/>
      <c r="D8" s="330"/>
      <c r="E8" s="330"/>
      <c r="F8" s="330"/>
      <c r="G8" s="330"/>
      <c r="H8" s="330"/>
      <c r="I8" s="330"/>
      <c r="L8" s="301"/>
      <c r="M8" s="328"/>
      <c r="N8" s="328"/>
      <c r="O8" s="328"/>
      <c r="P8" s="328"/>
      <c r="Q8" s="328"/>
      <c r="R8" s="328"/>
      <c r="S8" s="302"/>
    </row>
    <row r="9" spans="1:19">
      <c r="B9" s="330"/>
      <c r="C9" s="330"/>
      <c r="D9" s="330"/>
      <c r="E9" s="330"/>
      <c r="F9" s="330"/>
      <c r="G9" s="330"/>
      <c r="H9" s="330"/>
      <c r="I9" s="330"/>
      <c r="L9" s="301"/>
      <c r="M9" s="328"/>
      <c r="N9" s="328"/>
      <c r="O9" s="328"/>
      <c r="P9" s="328"/>
      <c r="Q9" s="328"/>
      <c r="R9" s="328"/>
      <c r="S9" s="302"/>
    </row>
    <row r="10" spans="1:19">
      <c r="B10" s="330"/>
      <c r="C10" s="330"/>
      <c r="D10" s="330"/>
      <c r="E10" s="330"/>
      <c r="F10" s="330"/>
      <c r="G10" s="330"/>
      <c r="H10" s="330"/>
      <c r="I10" s="330"/>
      <c r="L10" s="301"/>
      <c r="M10" s="328"/>
      <c r="N10" s="328"/>
      <c r="O10" s="328"/>
      <c r="P10" s="328"/>
      <c r="Q10" s="328"/>
      <c r="R10" s="328"/>
      <c r="S10" s="302"/>
    </row>
    <row r="11" spans="1:19">
      <c r="B11" s="330"/>
      <c r="C11" s="330"/>
      <c r="D11" s="330"/>
      <c r="E11" s="330"/>
      <c r="F11" s="330"/>
      <c r="G11" s="330"/>
      <c r="H11" s="330"/>
      <c r="I11" s="330"/>
      <c r="L11" s="301"/>
      <c r="M11" s="328"/>
      <c r="N11" s="328"/>
      <c r="O11" s="328"/>
      <c r="P11" s="328"/>
      <c r="Q11" s="328"/>
      <c r="R11" s="328"/>
      <c r="S11" s="302"/>
    </row>
    <row r="12" spans="1:19">
      <c r="B12" s="330"/>
      <c r="C12" s="330"/>
      <c r="D12" s="330"/>
      <c r="E12" s="330"/>
      <c r="F12" s="330"/>
      <c r="G12" s="330"/>
      <c r="H12" s="330"/>
      <c r="I12" s="330"/>
      <c r="L12" s="301"/>
      <c r="M12" s="328"/>
      <c r="N12" s="328"/>
      <c r="O12" s="328"/>
      <c r="P12" s="328"/>
      <c r="Q12" s="328"/>
      <c r="R12" s="328"/>
      <c r="S12" s="302"/>
    </row>
    <row r="13" spans="1:19">
      <c r="B13" s="330"/>
      <c r="C13" s="330"/>
      <c r="D13" s="330"/>
      <c r="E13" s="330"/>
      <c r="F13" s="330"/>
      <c r="G13" s="330"/>
      <c r="H13" s="330"/>
      <c r="I13" s="330"/>
      <c r="L13" s="301"/>
      <c r="M13" s="328"/>
      <c r="N13" s="328"/>
      <c r="O13" s="328"/>
      <c r="P13" s="328"/>
      <c r="Q13" s="328"/>
      <c r="R13" s="328"/>
      <c r="S13" s="302"/>
    </row>
    <row r="14" spans="1:19">
      <c r="B14" s="330"/>
      <c r="C14" s="330"/>
      <c r="D14" s="330"/>
      <c r="E14" s="330"/>
      <c r="F14" s="330"/>
      <c r="G14" s="330"/>
      <c r="H14" s="330"/>
      <c r="I14" s="330"/>
      <c r="L14" s="301"/>
      <c r="M14" s="328"/>
      <c r="N14" s="328"/>
      <c r="O14" s="328"/>
      <c r="P14" s="328"/>
      <c r="Q14" s="328"/>
      <c r="R14" s="328"/>
      <c r="S14" s="302"/>
    </row>
    <row r="15" spans="1:19">
      <c r="B15" s="330"/>
      <c r="C15" s="330"/>
      <c r="D15" s="330"/>
      <c r="E15" s="330"/>
      <c r="F15" s="330"/>
      <c r="G15" s="330"/>
      <c r="H15" s="330"/>
      <c r="I15" s="330"/>
      <c r="L15" s="301"/>
      <c r="M15" s="328"/>
      <c r="N15" s="328"/>
      <c r="O15" s="328"/>
      <c r="P15" s="328"/>
      <c r="Q15" s="328"/>
      <c r="R15" s="328"/>
      <c r="S15" s="302"/>
    </row>
    <row r="16" spans="1:19">
      <c r="B16" s="330"/>
      <c r="C16" s="330"/>
      <c r="D16" s="330"/>
      <c r="E16" s="330"/>
      <c r="F16" s="330"/>
      <c r="G16" s="330"/>
      <c r="H16" s="330"/>
      <c r="I16" s="330"/>
      <c r="L16" s="301"/>
      <c r="M16" s="328"/>
      <c r="N16" s="328"/>
      <c r="O16" s="328"/>
      <c r="P16" s="328"/>
      <c r="Q16" s="328"/>
      <c r="R16" s="328"/>
      <c r="S16" s="302"/>
    </row>
    <row r="17" spans="2:19">
      <c r="B17" s="330"/>
      <c r="C17" s="330"/>
      <c r="D17" s="330"/>
      <c r="E17" s="330"/>
      <c r="F17" s="330"/>
      <c r="G17" s="330"/>
      <c r="H17" s="330"/>
      <c r="I17" s="330"/>
      <c r="L17" s="301"/>
      <c r="M17" s="328"/>
      <c r="N17" s="328"/>
      <c r="O17" s="328"/>
      <c r="P17" s="328"/>
      <c r="Q17" s="328"/>
      <c r="R17" s="328"/>
      <c r="S17" s="302"/>
    </row>
    <row r="18" spans="2:19">
      <c r="B18" s="330"/>
      <c r="C18" s="330"/>
      <c r="D18" s="330"/>
      <c r="E18" s="330"/>
      <c r="F18" s="330"/>
      <c r="G18" s="330"/>
      <c r="H18" s="330"/>
      <c r="I18" s="330"/>
      <c r="L18" s="301"/>
      <c r="M18" s="328"/>
      <c r="N18" s="328"/>
      <c r="O18" s="328"/>
      <c r="P18" s="328"/>
      <c r="Q18" s="328"/>
      <c r="R18" s="328"/>
      <c r="S18" s="302"/>
    </row>
    <row r="19" spans="2:19">
      <c r="B19" s="330"/>
      <c r="C19" s="330"/>
      <c r="D19" s="330"/>
      <c r="E19" s="330"/>
      <c r="F19" s="330"/>
      <c r="G19" s="330"/>
      <c r="H19" s="330"/>
      <c r="I19" s="330"/>
      <c r="L19" s="301"/>
      <c r="M19" s="328"/>
      <c r="N19" s="328"/>
      <c r="O19" s="328"/>
      <c r="P19" s="328"/>
      <c r="Q19" s="328"/>
      <c r="R19" s="328"/>
      <c r="S19" s="302"/>
    </row>
    <row r="20" spans="2:19">
      <c r="B20" s="330"/>
      <c r="C20" s="330"/>
      <c r="D20" s="330"/>
      <c r="E20" s="330"/>
      <c r="F20" s="330"/>
      <c r="G20" s="330"/>
      <c r="H20" s="330"/>
      <c r="I20" s="330"/>
      <c r="L20" s="301"/>
      <c r="M20" s="328"/>
      <c r="N20" s="328"/>
      <c r="O20" s="328"/>
      <c r="P20" s="328"/>
      <c r="Q20" s="328"/>
      <c r="R20" s="328"/>
      <c r="S20" s="302"/>
    </row>
    <row r="21" spans="2:19">
      <c r="B21" s="330"/>
      <c r="C21" s="330"/>
      <c r="D21" s="330"/>
      <c r="E21" s="330"/>
      <c r="F21" s="330"/>
      <c r="G21" s="330"/>
      <c r="H21" s="330"/>
      <c r="I21" s="330"/>
      <c r="L21" s="301"/>
      <c r="M21" s="328"/>
      <c r="N21" s="328"/>
      <c r="O21" s="328"/>
      <c r="P21" s="328"/>
      <c r="Q21" s="328"/>
      <c r="R21" s="328"/>
      <c r="S21" s="302"/>
    </row>
    <row r="22" spans="2:19">
      <c r="B22" s="330"/>
      <c r="C22" s="330"/>
      <c r="D22" s="330"/>
      <c r="E22" s="330"/>
      <c r="F22" s="330"/>
      <c r="G22" s="330"/>
      <c r="H22" s="330"/>
      <c r="I22" s="330"/>
      <c r="L22" s="301"/>
      <c r="M22" s="328"/>
      <c r="N22" s="328"/>
      <c r="O22" s="328"/>
      <c r="P22" s="328"/>
      <c r="Q22" s="328"/>
      <c r="R22" s="328"/>
      <c r="S22" s="302"/>
    </row>
    <row r="23" spans="2:19">
      <c r="B23" s="330"/>
      <c r="C23" s="330"/>
      <c r="D23" s="330"/>
      <c r="E23" s="330"/>
      <c r="F23" s="330"/>
      <c r="G23" s="330"/>
      <c r="H23" s="330"/>
      <c r="I23" s="330"/>
      <c r="L23" s="301"/>
      <c r="M23" s="328"/>
      <c r="N23" s="328"/>
      <c r="O23" s="328"/>
      <c r="P23" s="328"/>
      <c r="Q23" s="328"/>
      <c r="R23" s="328"/>
      <c r="S23" s="302"/>
    </row>
    <row r="24" spans="2:19">
      <c r="B24" s="330"/>
      <c r="C24" s="330"/>
      <c r="D24" s="330"/>
      <c r="E24" s="330"/>
      <c r="F24" s="330"/>
      <c r="G24" s="330"/>
      <c r="H24" s="330"/>
      <c r="I24" s="330"/>
      <c r="L24" s="301"/>
      <c r="M24" s="328"/>
      <c r="N24" s="328"/>
      <c r="O24" s="328"/>
      <c r="P24" s="328"/>
      <c r="Q24" s="328"/>
      <c r="R24" s="328"/>
      <c r="S24" s="302"/>
    </row>
    <row r="25" spans="2:19">
      <c r="B25" s="330"/>
      <c r="C25" s="330"/>
      <c r="D25" s="330"/>
      <c r="E25" s="330"/>
      <c r="F25" s="330"/>
      <c r="G25" s="330"/>
      <c r="H25" s="330"/>
      <c r="I25" s="330"/>
      <c r="L25" s="301"/>
      <c r="M25" s="328"/>
      <c r="N25" s="328"/>
      <c r="O25" s="328"/>
      <c r="P25" s="328"/>
      <c r="Q25" s="328"/>
      <c r="R25" s="328"/>
      <c r="S25" s="302"/>
    </row>
    <row r="26" spans="2:19">
      <c r="B26" s="330"/>
      <c r="C26" s="330"/>
      <c r="D26" s="330"/>
      <c r="E26" s="330"/>
      <c r="F26" s="330"/>
      <c r="G26" s="330"/>
      <c r="H26" s="330"/>
      <c r="I26" s="330"/>
      <c r="L26" s="301"/>
      <c r="M26" s="328"/>
      <c r="N26" s="328"/>
      <c r="O26" s="328"/>
      <c r="P26" s="328"/>
      <c r="Q26" s="328"/>
      <c r="R26" s="328"/>
      <c r="S26" s="302"/>
    </row>
    <row r="27" spans="2:19">
      <c r="B27" s="330"/>
      <c r="C27" s="330"/>
      <c r="D27" s="330"/>
      <c r="E27" s="330"/>
      <c r="F27" s="330"/>
      <c r="G27" s="330"/>
      <c r="H27" s="330"/>
      <c r="I27" s="330"/>
      <c r="L27" s="301"/>
      <c r="M27" s="328"/>
      <c r="N27" s="328"/>
      <c r="O27" s="328"/>
      <c r="P27" s="328"/>
      <c r="Q27" s="328"/>
      <c r="R27" s="328"/>
      <c r="S27" s="302"/>
    </row>
    <row r="28" spans="2:19">
      <c r="B28" s="330"/>
      <c r="C28" s="330"/>
      <c r="D28" s="330"/>
      <c r="E28" s="330"/>
      <c r="F28" s="330"/>
      <c r="G28" s="330"/>
      <c r="H28" s="330"/>
      <c r="I28" s="330"/>
      <c r="L28" s="301"/>
      <c r="M28" s="328"/>
      <c r="N28" s="328"/>
      <c r="O28" s="328"/>
      <c r="P28" s="328"/>
      <c r="Q28" s="328"/>
      <c r="R28" s="328"/>
      <c r="S28" s="302"/>
    </row>
    <row r="29" spans="2:19">
      <c r="B29" s="330"/>
      <c r="C29" s="330"/>
      <c r="D29" s="330"/>
      <c r="E29" s="330"/>
      <c r="F29" s="330"/>
      <c r="G29" s="330"/>
      <c r="H29" s="330"/>
      <c r="I29" s="330"/>
      <c r="L29" s="303"/>
      <c r="M29" s="329"/>
      <c r="N29" s="329"/>
      <c r="O29" s="329"/>
      <c r="P29" s="329"/>
      <c r="Q29" s="329"/>
      <c r="R29" s="329"/>
      <c r="S29" s="304"/>
    </row>
    <row r="30" spans="2:19">
      <c r="B30" s="330"/>
      <c r="C30" s="330"/>
      <c r="D30" s="330"/>
      <c r="E30" s="330"/>
      <c r="F30" s="330"/>
      <c r="G30" s="330"/>
      <c r="H30" s="330"/>
      <c r="I30" s="330"/>
    </row>
    <row r="31" spans="2:19">
      <c r="B31" s="330"/>
      <c r="C31" s="330"/>
      <c r="D31" s="330"/>
      <c r="E31" s="330"/>
      <c r="F31" s="330"/>
      <c r="G31" s="330"/>
      <c r="H31" s="330"/>
      <c r="I31" s="330"/>
    </row>
  </sheetData>
  <sheetProtection password="86F2" sheet="1" objects="1" scenarios="1"/>
  <mergeCells count="4">
    <mergeCell ref="B3:E4"/>
    <mergeCell ref="L3:O4"/>
    <mergeCell ref="L7:S29"/>
    <mergeCell ref="B7:I31"/>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sheetPr codeName="Hoja9"/>
  <dimension ref="A1:AE28"/>
  <sheetViews>
    <sheetView tabSelected="1" topLeftCell="C5" zoomScale="80" zoomScaleNormal="80" workbookViewId="0"/>
  </sheetViews>
  <sheetFormatPr baseColWidth="10" defaultRowHeight="15"/>
  <cols>
    <col min="1" max="1" width="17.7109375" style="61" customWidth="1"/>
    <col min="2" max="2" width="61.28515625" style="61" customWidth="1"/>
    <col min="3" max="3" width="12.140625" style="61" customWidth="1"/>
    <col min="4" max="4" width="21.85546875" style="61" customWidth="1"/>
    <col min="5" max="5" width="21" style="61" customWidth="1"/>
    <col min="6" max="6" width="30" style="61" customWidth="1"/>
    <col min="7" max="7" width="35.5703125" style="61" customWidth="1"/>
    <col min="8" max="16384" width="11.42578125" style="61"/>
  </cols>
  <sheetData>
    <row r="1" spans="1:31" s="1" customFormat="1">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row>
    <row r="2" spans="1:31" s="1" customFormat="1">
      <c r="A2" s="48" t="s">
        <v>183</v>
      </c>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row>
    <row r="4" spans="1:31" ht="76.5" customHeight="1"/>
    <row r="5" spans="1:31" ht="61.5" customHeight="1">
      <c r="A5" s="294" t="s">
        <v>220</v>
      </c>
      <c r="B5" s="295"/>
      <c r="D5" s="20"/>
      <c r="E5" s="21" t="s">
        <v>100</v>
      </c>
      <c r="F5" s="21" t="s">
        <v>101</v>
      </c>
      <c r="G5" s="22" t="s">
        <v>102</v>
      </c>
    </row>
    <row r="6" spans="1:31" ht="19.5" customHeight="1">
      <c r="A6" s="296"/>
      <c r="B6" s="297"/>
      <c r="D6" s="23" t="s">
        <v>103</v>
      </c>
      <c r="E6" s="24">
        <f>F6+G6</f>
        <v>125000</v>
      </c>
      <c r="F6" s="25">
        <v>100000</v>
      </c>
      <c r="G6" s="26">
        <v>25000</v>
      </c>
      <c r="H6" s="62">
        <f>(G6/100)*25</f>
        <v>6250</v>
      </c>
    </row>
    <row r="7" spans="1:31" ht="16.5" customHeight="1">
      <c r="A7" s="296"/>
      <c r="B7" s="297"/>
      <c r="D7" s="27" t="s">
        <v>104</v>
      </c>
      <c r="E7" s="28">
        <f>(E6/E6)*1</f>
        <v>1</v>
      </c>
      <c r="F7" s="29">
        <f>F6/E6</f>
        <v>0.8</v>
      </c>
      <c r="G7" s="30">
        <f>E7-F7</f>
        <v>0.19999999999999996</v>
      </c>
    </row>
    <row r="8" spans="1:31">
      <c r="A8" s="296"/>
      <c r="B8" s="297"/>
      <c r="D8" s="20"/>
    </row>
    <row r="9" spans="1:31" ht="15" customHeight="1">
      <c r="A9" s="296"/>
      <c r="B9" s="297"/>
      <c r="D9" s="20"/>
    </row>
    <row r="10" spans="1:31">
      <c r="A10" s="296"/>
      <c r="B10" s="297"/>
      <c r="D10" s="20"/>
    </row>
    <row r="11" spans="1:31">
      <c r="A11" s="296"/>
      <c r="B11" s="297"/>
    </row>
    <row r="12" spans="1:31">
      <c r="A12" s="296"/>
      <c r="B12" s="297"/>
    </row>
    <row r="13" spans="1:31">
      <c r="A13" s="296"/>
      <c r="B13" s="297"/>
    </row>
    <row r="14" spans="1:31">
      <c r="A14" s="296"/>
      <c r="B14" s="297"/>
    </row>
    <row r="15" spans="1:31" ht="35.1" customHeight="1">
      <c r="A15" s="296"/>
      <c r="B15" s="297"/>
      <c r="E15" s="331" t="s">
        <v>245</v>
      </c>
      <c r="F15" s="332"/>
      <c r="G15" s="333"/>
    </row>
    <row r="16" spans="1:31">
      <c r="A16" s="296"/>
      <c r="B16" s="297"/>
      <c r="E16" s="31" t="s">
        <v>105</v>
      </c>
      <c r="F16" s="31" t="s">
        <v>106</v>
      </c>
      <c r="G16" s="32" t="s">
        <v>107</v>
      </c>
    </row>
    <row r="17" spans="1:7">
      <c r="A17" s="296"/>
      <c r="B17" s="297"/>
      <c r="E17" s="31" t="s">
        <v>218</v>
      </c>
      <c r="F17" s="33">
        <v>8000</v>
      </c>
      <c r="G17" s="34">
        <f>$F17/$G$6</f>
        <v>0.32</v>
      </c>
    </row>
    <row r="18" spans="1:7">
      <c r="A18" s="296"/>
      <c r="B18" s="297"/>
      <c r="E18" s="31" t="s">
        <v>108</v>
      </c>
      <c r="F18" s="33">
        <v>4000</v>
      </c>
      <c r="G18" s="34">
        <f>$F18/$G$6</f>
        <v>0.16</v>
      </c>
    </row>
    <row r="19" spans="1:7">
      <c r="A19" s="296"/>
      <c r="B19" s="297"/>
      <c r="E19" s="31" t="s">
        <v>109</v>
      </c>
      <c r="F19" s="33">
        <v>13000</v>
      </c>
      <c r="G19" s="34">
        <f>$F19/$G$6</f>
        <v>0.52</v>
      </c>
    </row>
    <row r="20" spans="1:7">
      <c r="A20" s="296"/>
      <c r="B20" s="297"/>
      <c r="E20" s="31" t="s">
        <v>106</v>
      </c>
      <c r="F20" s="35">
        <f>SUM(F17:F19)</f>
        <v>25000</v>
      </c>
      <c r="G20" s="28">
        <f>$F20/$G$6</f>
        <v>1</v>
      </c>
    </row>
    <row r="21" spans="1:7">
      <c r="A21" s="296"/>
      <c r="B21" s="297"/>
    </row>
    <row r="22" spans="1:7">
      <c r="A22" s="296"/>
      <c r="B22" s="297"/>
    </row>
    <row r="23" spans="1:7" ht="15" customHeight="1">
      <c r="A23" s="296"/>
      <c r="B23" s="297"/>
    </row>
    <row r="24" spans="1:7">
      <c r="A24" s="296"/>
      <c r="B24" s="297"/>
    </row>
    <row r="25" spans="1:7">
      <c r="A25" s="296"/>
      <c r="B25" s="297"/>
    </row>
    <row r="26" spans="1:7">
      <c r="A26" s="296"/>
      <c r="B26" s="297"/>
    </row>
    <row r="27" spans="1:7">
      <c r="A27" s="296"/>
      <c r="B27" s="297"/>
    </row>
    <row r="28" spans="1:7">
      <c r="A28" s="298"/>
      <c r="B28" s="299"/>
    </row>
  </sheetData>
  <sheetProtection password="86F2" sheet="1" objects="1" scenarios="1"/>
  <mergeCells count="2">
    <mergeCell ref="A5:B28"/>
    <mergeCell ref="E15:G15"/>
  </mergeCells>
  <conditionalFormatting sqref="F20">
    <cfRule type="cellIs" dxfId="25" priority="9" operator="equal">
      <formula>$G$6</formula>
    </cfRule>
    <cfRule type="cellIs" dxfId="24" priority="10" stopIfTrue="1" operator="notEqual">
      <formula>$G$6</formula>
    </cfRule>
  </conditionalFormatting>
  <conditionalFormatting sqref="F17">
    <cfRule type="cellIs" dxfId="23" priority="7" stopIfTrue="1" operator="lessThan">
      <formula>$H$6</formula>
    </cfRule>
    <cfRule type="cellIs" dxfId="22" priority="8" operator="greaterThanOrEqual">
      <formula>$H$6</formula>
    </cfRule>
  </conditionalFormatting>
  <conditionalFormatting sqref="G7">
    <cfRule type="cellIs" dxfId="21" priority="6" operator="lessThan">
      <formula>0.2</formula>
    </cfRule>
  </conditionalFormatting>
  <conditionalFormatting sqref="H6">
    <cfRule type="cellIs" dxfId="20" priority="5" operator="lessThan">
      <formula>$G$119</formula>
    </cfRule>
  </conditionalFormatting>
  <conditionalFormatting sqref="G20">
    <cfRule type="cellIs" dxfId="19" priority="3" stopIfTrue="1" operator="notEqual">
      <formula>1</formula>
    </cfRule>
    <cfRule type="cellIs" dxfId="18" priority="4" stopIfTrue="1" operator="equal">
      <formula>1</formula>
    </cfRule>
  </conditionalFormatting>
  <conditionalFormatting sqref="G17">
    <cfRule type="cellIs" dxfId="17" priority="1" stopIfTrue="1" operator="lessThan">
      <formula>0.25</formula>
    </cfRule>
    <cfRule type="cellIs" dxfId="16" priority="2" stopIfTrue="1" operator="greaterThanOrEqual">
      <formula>0.25</formula>
    </cfRule>
  </conditionalFormatting>
  <dataValidations count="3">
    <dataValidation allowBlank="1" showInputMessage="1" showErrorMessage="1" errorTitle="ERROR" error="NO SE PUEDE APLICAR A MONTOS SUPERIORES A 125000"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2 JA65542 SW65542 ACS65542 AMO65542 AWK65542 BGG65542 BQC65542 BZY65542 CJU65542 CTQ65542 DDM65542 DNI65542 DXE65542 EHA65542 EQW65542 FAS65542 FKO65542 FUK65542 GEG65542 GOC65542 GXY65542 HHU65542 HRQ65542 IBM65542 ILI65542 IVE65542 JFA65542 JOW65542 JYS65542 KIO65542 KSK65542 LCG65542 LMC65542 LVY65542 MFU65542 MPQ65542 MZM65542 NJI65542 NTE65542 ODA65542 OMW65542 OWS65542 PGO65542 PQK65542 QAG65542 QKC65542 QTY65542 RDU65542 RNQ65542 RXM65542 SHI65542 SRE65542 TBA65542 TKW65542 TUS65542 UEO65542 UOK65542 UYG65542 VIC65542 VRY65542 WBU65542 WLQ65542 WVM65542 E131078 JA131078 SW131078 ACS131078 AMO131078 AWK131078 BGG131078 BQC131078 BZY131078 CJU131078 CTQ131078 DDM131078 DNI131078 DXE131078 EHA131078 EQW131078 FAS131078 FKO131078 FUK131078 GEG131078 GOC131078 GXY131078 HHU131078 HRQ131078 IBM131078 ILI131078 IVE131078 JFA131078 JOW131078 JYS131078 KIO131078 KSK131078 LCG131078 LMC131078 LVY131078 MFU131078 MPQ131078 MZM131078 NJI131078 NTE131078 ODA131078 OMW131078 OWS131078 PGO131078 PQK131078 QAG131078 QKC131078 QTY131078 RDU131078 RNQ131078 RXM131078 SHI131078 SRE131078 TBA131078 TKW131078 TUS131078 UEO131078 UOK131078 UYG131078 VIC131078 VRY131078 WBU131078 WLQ131078 WVM131078 E196614 JA196614 SW196614 ACS196614 AMO196614 AWK196614 BGG196614 BQC196614 BZY196614 CJU196614 CTQ196614 DDM196614 DNI196614 DXE196614 EHA196614 EQW196614 FAS196614 FKO196614 FUK196614 GEG196614 GOC196614 GXY196614 HHU196614 HRQ196614 IBM196614 ILI196614 IVE196614 JFA196614 JOW196614 JYS196614 KIO196614 KSK196614 LCG196614 LMC196614 LVY196614 MFU196614 MPQ196614 MZM196614 NJI196614 NTE196614 ODA196614 OMW196614 OWS196614 PGO196614 PQK196614 QAG196614 QKC196614 QTY196614 RDU196614 RNQ196614 RXM196614 SHI196614 SRE196614 TBA196614 TKW196614 TUS196614 UEO196614 UOK196614 UYG196614 VIC196614 VRY196614 WBU196614 WLQ196614 WVM196614 E262150 JA262150 SW262150 ACS262150 AMO262150 AWK262150 BGG262150 BQC262150 BZY262150 CJU262150 CTQ262150 DDM262150 DNI262150 DXE262150 EHA262150 EQW262150 FAS262150 FKO262150 FUK262150 GEG262150 GOC262150 GXY262150 HHU262150 HRQ262150 IBM262150 ILI262150 IVE262150 JFA262150 JOW262150 JYS262150 KIO262150 KSK262150 LCG262150 LMC262150 LVY262150 MFU262150 MPQ262150 MZM262150 NJI262150 NTE262150 ODA262150 OMW262150 OWS262150 PGO262150 PQK262150 QAG262150 QKC262150 QTY262150 RDU262150 RNQ262150 RXM262150 SHI262150 SRE262150 TBA262150 TKW262150 TUS262150 UEO262150 UOK262150 UYG262150 VIC262150 VRY262150 WBU262150 WLQ262150 WVM262150 E327686 JA327686 SW327686 ACS327686 AMO327686 AWK327686 BGG327686 BQC327686 BZY327686 CJU327686 CTQ327686 DDM327686 DNI327686 DXE327686 EHA327686 EQW327686 FAS327686 FKO327686 FUK327686 GEG327686 GOC327686 GXY327686 HHU327686 HRQ327686 IBM327686 ILI327686 IVE327686 JFA327686 JOW327686 JYS327686 KIO327686 KSK327686 LCG327686 LMC327686 LVY327686 MFU327686 MPQ327686 MZM327686 NJI327686 NTE327686 ODA327686 OMW327686 OWS327686 PGO327686 PQK327686 QAG327686 QKC327686 QTY327686 RDU327686 RNQ327686 RXM327686 SHI327686 SRE327686 TBA327686 TKW327686 TUS327686 UEO327686 UOK327686 UYG327686 VIC327686 VRY327686 WBU327686 WLQ327686 WVM327686 E393222 JA393222 SW393222 ACS393222 AMO393222 AWK393222 BGG393222 BQC393222 BZY393222 CJU393222 CTQ393222 DDM393222 DNI393222 DXE393222 EHA393222 EQW393222 FAS393222 FKO393222 FUK393222 GEG393222 GOC393222 GXY393222 HHU393222 HRQ393222 IBM393222 ILI393222 IVE393222 JFA393222 JOW393222 JYS393222 KIO393222 KSK393222 LCG393222 LMC393222 LVY393222 MFU393222 MPQ393222 MZM393222 NJI393222 NTE393222 ODA393222 OMW393222 OWS393222 PGO393222 PQK393222 QAG393222 QKC393222 QTY393222 RDU393222 RNQ393222 RXM393222 SHI393222 SRE393222 TBA393222 TKW393222 TUS393222 UEO393222 UOK393222 UYG393222 VIC393222 VRY393222 WBU393222 WLQ393222 WVM393222 E458758 JA458758 SW458758 ACS458758 AMO458758 AWK458758 BGG458758 BQC458758 BZY458758 CJU458758 CTQ458758 DDM458758 DNI458758 DXE458758 EHA458758 EQW458758 FAS458758 FKO458758 FUK458758 GEG458758 GOC458758 GXY458758 HHU458758 HRQ458758 IBM458758 ILI458758 IVE458758 JFA458758 JOW458758 JYS458758 KIO458758 KSK458758 LCG458758 LMC458758 LVY458758 MFU458758 MPQ458758 MZM458758 NJI458758 NTE458758 ODA458758 OMW458758 OWS458758 PGO458758 PQK458758 QAG458758 QKC458758 QTY458758 RDU458758 RNQ458758 RXM458758 SHI458758 SRE458758 TBA458758 TKW458758 TUS458758 UEO458758 UOK458758 UYG458758 VIC458758 VRY458758 WBU458758 WLQ458758 WVM458758 E524294 JA524294 SW524294 ACS524294 AMO524294 AWK524294 BGG524294 BQC524294 BZY524294 CJU524294 CTQ524294 DDM524294 DNI524294 DXE524294 EHA524294 EQW524294 FAS524294 FKO524294 FUK524294 GEG524294 GOC524294 GXY524294 HHU524294 HRQ524294 IBM524294 ILI524294 IVE524294 JFA524294 JOW524294 JYS524294 KIO524294 KSK524294 LCG524294 LMC524294 LVY524294 MFU524294 MPQ524294 MZM524294 NJI524294 NTE524294 ODA524294 OMW524294 OWS524294 PGO524294 PQK524294 QAG524294 QKC524294 QTY524294 RDU524294 RNQ524294 RXM524294 SHI524294 SRE524294 TBA524294 TKW524294 TUS524294 UEO524294 UOK524294 UYG524294 VIC524294 VRY524294 WBU524294 WLQ524294 WVM524294 E589830 JA589830 SW589830 ACS589830 AMO589830 AWK589830 BGG589830 BQC589830 BZY589830 CJU589830 CTQ589830 DDM589830 DNI589830 DXE589830 EHA589830 EQW589830 FAS589830 FKO589830 FUK589830 GEG589830 GOC589830 GXY589830 HHU589830 HRQ589830 IBM589830 ILI589830 IVE589830 JFA589830 JOW589830 JYS589830 KIO589830 KSK589830 LCG589830 LMC589830 LVY589830 MFU589830 MPQ589830 MZM589830 NJI589830 NTE589830 ODA589830 OMW589830 OWS589830 PGO589830 PQK589830 QAG589830 QKC589830 QTY589830 RDU589830 RNQ589830 RXM589830 SHI589830 SRE589830 TBA589830 TKW589830 TUS589830 UEO589830 UOK589830 UYG589830 VIC589830 VRY589830 WBU589830 WLQ589830 WVM589830 E655366 JA655366 SW655366 ACS655366 AMO655366 AWK655366 BGG655366 BQC655366 BZY655366 CJU655366 CTQ655366 DDM655366 DNI655366 DXE655366 EHA655366 EQW655366 FAS655366 FKO655366 FUK655366 GEG655366 GOC655366 GXY655366 HHU655366 HRQ655366 IBM655366 ILI655366 IVE655366 JFA655366 JOW655366 JYS655366 KIO655366 KSK655366 LCG655366 LMC655366 LVY655366 MFU655366 MPQ655366 MZM655366 NJI655366 NTE655366 ODA655366 OMW655366 OWS655366 PGO655366 PQK655366 QAG655366 QKC655366 QTY655366 RDU655366 RNQ655366 RXM655366 SHI655366 SRE655366 TBA655366 TKW655366 TUS655366 UEO655366 UOK655366 UYG655366 VIC655366 VRY655366 WBU655366 WLQ655366 WVM655366 E720902 JA720902 SW720902 ACS720902 AMO720902 AWK720902 BGG720902 BQC720902 BZY720902 CJU720902 CTQ720902 DDM720902 DNI720902 DXE720902 EHA720902 EQW720902 FAS720902 FKO720902 FUK720902 GEG720902 GOC720902 GXY720902 HHU720902 HRQ720902 IBM720902 ILI720902 IVE720902 JFA720902 JOW720902 JYS720902 KIO720902 KSK720902 LCG720902 LMC720902 LVY720902 MFU720902 MPQ720902 MZM720902 NJI720902 NTE720902 ODA720902 OMW720902 OWS720902 PGO720902 PQK720902 QAG720902 QKC720902 QTY720902 RDU720902 RNQ720902 RXM720902 SHI720902 SRE720902 TBA720902 TKW720902 TUS720902 UEO720902 UOK720902 UYG720902 VIC720902 VRY720902 WBU720902 WLQ720902 WVM720902 E786438 JA786438 SW786438 ACS786438 AMO786438 AWK786438 BGG786438 BQC786438 BZY786438 CJU786438 CTQ786438 DDM786438 DNI786438 DXE786438 EHA786438 EQW786438 FAS786438 FKO786438 FUK786438 GEG786438 GOC786438 GXY786438 HHU786438 HRQ786438 IBM786438 ILI786438 IVE786438 JFA786438 JOW786438 JYS786438 KIO786438 KSK786438 LCG786438 LMC786438 LVY786438 MFU786438 MPQ786438 MZM786438 NJI786438 NTE786438 ODA786438 OMW786438 OWS786438 PGO786438 PQK786438 QAG786438 QKC786438 QTY786438 RDU786438 RNQ786438 RXM786438 SHI786438 SRE786438 TBA786438 TKW786438 TUS786438 UEO786438 UOK786438 UYG786438 VIC786438 VRY786438 WBU786438 WLQ786438 WVM786438 E851974 JA851974 SW851974 ACS851974 AMO851974 AWK851974 BGG851974 BQC851974 BZY851974 CJU851974 CTQ851974 DDM851974 DNI851974 DXE851974 EHA851974 EQW851974 FAS851974 FKO851974 FUK851974 GEG851974 GOC851974 GXY851974 HHU851974 HRQ851974 IBM851974 ILI851974 IVE851974 JFA851974 JOW851974 JYS851974 KIO851974 KSK851974 LCG851974 LMC851974 LVY851974 MFU851974 MPQ851974 MZM851974 NJI851974 NTE851974 ODA851974 OMW851974 OWS851974 PGO851974 PQK851974 QAG851974 QKC851974 QTY851974 RDU851974 RNQ851974 RXM851974 SHI851974 SRE851974 TBA851974 TKW851974 TUS851974 UEO851974 UOK851974 UYG851974 VIC851974 VRY851974 WBU851974 WLQ851974 WVM851974 E917510 JA917510 SW917510 ACS917510 AMO917510 AWK917510 BGG917510 BQC917510 BZY917510 CJU917510 CTQ917510 DDM917510 DNI917510 DXE917510 EHA917510 EQW917510 FAS917510 FKO917510 FUK917510 GEG917510 GOC917510 GXY917510 HHU917510 HRQ917510 IBM917510 ILI917510 IVE917510 JFA917510 JOW917510 JYS917510 KIO917510 KSK917510 LCG917510 LMC917510 LVY917510 MFU917510 MPQ917510 MZM917510 NJI917510 NTE917510 ODA917510 OMW917510 OWS917510 PGO917510 PQK917510 QAG917510 QKC917510 QTY917510 RDU917510 RNQ917510 RXM917510 SHI917510 SRE917510 TBA917510 TKW917510 TUS917510 UEO917510 UOK917510 UYG917510 VIC917510 VRY917510 WBU917510 WLQ917510 WVM917510 E983046 JA983046 SW983046 ACS983046 AMO983046 AWK983046 BGG983046 BQC983046 BZY983046 CJU983046 CTQ983046 DDM983046 DNI983046 DXE983046 EHA983046 EQW983046 FAS983046 FKO983046 FUK983046 GEG983046 GOC983046 GXY983046 HHU983046 HRQ983046 IBM983046 ILI983046 IVE983046 JFA983046 JOW983046 JYS983046 KIO983046 KSK983046 LCG983046 LMC983046 LVY983046 MFU983046 MPQ983046 MZM983046 NJI983046 NTE983046 ODA983046 OMW983046 OWS983046 PGO983046 PQK983046 QAG983046 QKC983046 QTY983046 RDU983046 RNQ983046 RXM983046 SHI983046 SRE983046 TBA983046 TKW983046 TUS983046 UEO983046 UOK983046 UYG983046 VIC983046 VRY983046 WBU983046 WLQ983046 WVM983046"/>
    <dataValidation type="decimal" operator="lessThanOrEqual" allowBlank="1" showInputMessage="1" showErrorMessage="1" error="No se pueden postular valores superiores a $100.000,00"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formula1>100000</formula1>
    </dataValidation>
    <dataValidation operator="equal" allowBlank="1" showInputMessage="1" showErrorMessage="1" sqref="F20 JB20 SX20 ACT20 AMP20 AWL20 BGH20 BQD20 BZZ20 CJV20 CTR20 DDN20 DNJ20 DXF20 EHB20 EQX20 FAT20 FKP20 FUL20 GEH20 GOD20 GXZ20 HHV20 HRR20 IBN20 ILJ20 IVF20 JFB20 JOX20 JYT20 KIP20 KSL20 LCH20 LMD20 LVZ20 MFV20 MPR20 MZN20 NJJ20 NTF20 ODB20 OMX20 OWT20 PGP20 PQL20 QAH20 QKD20 QTZ20 RDV20 RNR20 RXN20 SHJ20 SRF20 TBB20 TKX20 TUT20 UEP20 UOL20 UYH20 VID20 VRZ20 WBV20 WLR20 WVN20 F65556 JB65556 SX65556 ACT65556 AMP65556 AWL65556 BGH65556 BQD65556 BZZ65556 CJV65556 CTR65556 DDN65556 DNJ65556 DXF65556 EHB65556 EQX65556 FAT65556 FKP65556 FUL65556 GEH65556 GOD65556 GXZ65556 HHV65556 HRR65556 IBN65556 ILJ65556 IVF65556 JFB65556 JOX65556 JYT65556 KIP65556 KSL65556 LCH65556 LMD65556 LVZ65556 MFV65556 MPR65556 MZN65556 NJJ65556 NTF65556 ODB65556 OMX65556 OWT65556 PGP65556 PQL65556 QAH65556 QKD65556 QTZ65556 RDV65556 RNR65556 RXN65556 SHJ65556 SRF65556 TBB65556 TKX65556 TUT65556 UEP65556 UOL65556 UYH65556 VID65556 VRZ65556 WBV65556 WLR65556 WVN65556 F131092 JB131092 SX131092 ACT131092 AMP131092 AWL131092 BGH131092 BQD131092 BZZ131092 CJV131092 CTR131092 DDN131092 DNJ131092 DXF131092 EHB131092 EQX131092 FAT131092 FKP131092 FUL131092 GEH131092 GOD131092 GXZ131092 HHV131092 HRR131092 IBN131092 ILJ131092 IVF131092 JFB131092 JOX131092 JYT131092 KIP131092 KSL131092 LCH131092 LMD131092 LVZ131092 MFV131092 MPR131092 MZN131092 NJJ131092 NTF131092 ODB131092 OMX131092 OWT131092 PGP131092 PQL131092 QAH131092 QKD131092 QTZ131092 RDV131092 RNR131092 RXN131092 SHJ131092 SRF131092 TBB131092 TKX131092 TUT131092 UEP131092 UOL131092 UYH131092 VID131092 VRZ131092 WBV131092 WLR131092 WVN131092 F196628 JB196628 SX196628 ACT196628 AMP196628 AWL196628 BGH196628 BQD196628 BZZ196628 CJV196628 CTR196628 DDN196628 DNJ196628 DXF196628 EHB196628 EQX196628 FAT196628 FKP196628 FUL196628 GEH196628 GOD196628 GXZ196628 HHV196628 HRR196628 IBN196628 ILJ196628 IVF196628 JFB196628 JOX196628 JYT196628 KIP196628 KSL196628 LCH196628 LMD196628 LVZ196628 MFV196628 MPR196628 MZN196628 NJJ196628 NTF196628 ODB196628 OMX196628 OWT196628 PGP196628 PQL196628 QAH196628 QKD196628 QTZ196628 RDV196628 RNR196628 RXN196628 SHJ196628 SRF196628 TBB196628 TKX196628 TUT196628 UEP196628 UOL196628 UYH196628 VID196628 VRZ196628 WBV196628 WLR196628 WVN196628 F262164 JB262164 SX262164 ACT262164 AMP262164 AWL262164 BGH262164 BQD262164 BZZ262164 CJV262164 CTR262164 DDN262164 DNJ262164 DXF262164 EHB262164 EQX262164 FAT262164 FKP262164 FUL262164 GEH262164 GOD262164 GXZ262164 HHV262164 HRR262164 IBN262164 ILJ262164 IVF262164 JFB262164 JOX262164 JYT262164 KIP262164 KSL262164 LCH262164 LMD262164 LVZ262164 MFV262164 MPR262164 MZN262164 NJJ262164 NTF262164 ODB262164 OMX262164 OWT262164 PGP262164 PQL262164 QAH262164 QKD262164 QTZ262164 RDV262164 RNR262164 RXN262164 SHJ262164 SRF262164 TBB262164 TKX262164 TUT262164 UEP262164 UOL262164 UYH262164 VID262164 VRZ262164 WBV262164 WLR262164 WVN262164 F327700 JB327700 SX327700 ACT327700 AMP327700 AWL327700 BGH327700 BQD327700 BZZ327700 CJV327700 CTR327700 DDN327700 DNJ327700 DXF327700 EHB327700 EQX327700 FAT327700 FKP327700 FUL327700 GEH327700 GOD327700 GXZ327700 HHV327700 HRR327700 IBN327700 ILJ327700 IVF327700 JFB327700 JOX327700 JYT327700 KIP327700 KSL327700 LCH327700 LMD327700 LVZ327700 MFV327700 MPR327700 MZN327700 NJJ327700 NTF327700 ODB327700 OMX327700 OWT327700 PGP327700 PQL327700 QAH327700 QKD327700 QTZ327700 RDV327700 RNR327700 RXN327700 SHJ327700 SRF327700 TBB327700 TKX327700 TUT327700 UEP327700 UOL327700 UYH327700 VID327700 VRZ327700 WBV327700 WLR327700 WVN327700 F393236 JB393236 SX393236 ACT393236 AMP393236 AWL393236 BGH393236 BQD393236 BZZ393236 CJV393236 CTR393236 DDN393236 DNJ393236 DXF393236 EHB393236 EQX393236 FAT393236 FKP393236 FUL393236 GEH393236 GOD393236 GXZ393236 HHV393236 HRR393236 IBN393236 ILJ393236 IVF393236 JFB393236 JOX393236 JYT393236 KIP393236 KSL393236 LCH393236 LMD393236 LVZ393236 MFV393236 MPR393236 MZN393236 NJJ393236 NTF393236 ODB393236 OMX393236 OWT393236 PGP393236 PQL393236 QAH393236 QKD393236 QTZ393236 RDV393236 RNR393236 RXN393236 SHJ393236 SRF393236 TBB393236 TKX393236 TUT393236 UEP393236 UOL393236 UYH393236 VID393236 VRZ393236 WBV393236 WLR393236 WVN393236 F458772 JB458772 SX458772 ACT458772 AMP458772 AWL458772 BGH458772 BQD458772 BZZ458772 CJV458772 CTR458772 DDN458772 DNJ458772 DXF458772 EHB458772 EQX458772 FAT458772 FKP458772 FUL458772 GEH458772 GOD458772 GXZ458772 HHV458772 HRR458772 IBN458772 ILJ458772 IVF458772 JFB458772 JOX458772 JYT458772 KIP458772 KSL458772 LCH458772 LMD458772 LVZ458772 MFV458772 MPR458772 MZN458772 NJJ458772 NTF458772 ODB458772 OMX458772 OWT458772 PGP458772 PQL458772 QAH458772 QKD458772 QTZ458772 RDV458772 RNR458772 RXN458772 SHJ458772 SRF458772 TBB458772 TKX458772 TUT458772 UEP458772 UOL458772 UYH458772 VID458772 VRZ458772 WBV458772 WLR458772 WVN458772 F524308 JB524308 SX524308 ACT524308 AMP524308 AWL524308 BGH524308 BQD524308 BZZ524308 CJV524308 CTR524308 DDN524308 DNJ524308 DXF524308 EHB524308 EQX524308 FAT524308 FKP524308 FUL524308 GEH524308 GOD524308 GXZ524308 HHV524308 HRR524308 IBN524308 ILJ524308 IVF524308 JFB524308 JOX524308 JYT524308 KIP524308 KSL524308 LCH524308 LMD524308 LVZ524308 MFV524308 MPR524308 MZN524308 NJJ524308 NTF524308 ODB524308 OMX524308 OWT524308 PGP524308 PQL524308 QAH524308 QKD524308 QTZ524308 RDV524308 RNR524308 RXN524308 SHJ524308 SRF524308 TBB524308 TKX524308 TUT524308 UEP524308 UOL524308 UYH524308 VID524308 VRZ524308 WBV524308 WLR524308 WVN524308 F589844 JB589844 SX589844 ACT589844 AMP589844 AWL589844 BGH589844 BQD589844 BZZ589844 CJV589844 CTR589844 DDN589844 DNJ589844 DXF589844 EHB589844 EQX589844 FAT589844 FKP589844 FUL589844 GEH589844 GOD589844 GXZ589844 HHV589844 HRR589844 IBN589844 ILJ589844 IVF589844 JFB589844 JOX589844 JYT589844 KIP589844 KSL589844 LCH589844 LMD589844 LVZ589844 MFV589844 MPR589844 MZN589844 NJJ589844 NTF589844 ODB589844 OMX589844 OWT589844 PGP589844 PQL589844 QAH589844 QKD589844 QTZ589844 RDV589844 RNR589844 RXN589844 SHJ589844 SRF589844 TBB589844 TKX589844 TUT589844 UEP589844 UOL589844 UYH589844 VID589844 VRZ589844 WBV589844 WLR589844 WVN589844 F655380 JB655380 SX655380 ACT655380 AMP655380 AWL655380 BGH655380 BQD655380 BZZ655380 CJV655380 CTR655380 DDN655380 DNJ655380 DXF655380 EHB655380 EQX655380 FAT655380 FKP655380 FUL655380 GEH655380 GOD655380 GXZ655380 HHV655380 HRR655380 IBN655380 ILJ655380 IVF655380 JFB655380 JOX655380 JYT655380 KIP655380 KSL655380 LCH655380 LMD655380 LVZ655380 MFV655380 MPR655380 MZN655380 NJJ655380 NTF655380 ODB655380 OMX655380 OWT655380 PGP655380 PQL655380 QAH655380 QKD655380 QTZ655380 RDV655380 RNR655380 RXN655380 SHJ655380 SRF655380 TBB655380 TKX655380 TUT655380 UEP655380 UOL655380 UYH655380 VID655380 VRZ655380 WBV655380 WLR655380 WVN655380 F720916 JB720916 SX720916 ACT720916 AMP720916 AWL720916 BGH720916 BQD720916 BZZ720916 CJV720916 CTR720916 DDN720916 DNJ720916 DXF720916 EHB720916 EQX720916 FAT720916 FKP720916 FUL720916 GEH720916 GOD720916 GXZ720916 HHV720916 HRR720916 IBN720916 ILJ720916 IVF720916 JFB720916 JOX720916 JYT720916 KIP720916 KSL720916 LCH720916 LMD720916 LVZ720916 MFV720916 MPR720916 MZN720916 NJJ720916 NTF720916 ODB720916 OMX720916 OWT720916 PGP720916 PQL720916 QAH720916 QKD720916 QTZ720916 RDV720916 RNR720916 RXN720916 SHJ720916 SRF720916 TBB720916 TKX720916 TUT720916 UEP720916 UOL720916 UYH720916 VID720916 VRZ720916 WBV720916 WLR720916 WVN720916 F786452 JB786452 SX786452 ACT786452 AMP786452 AWL786452 BGH786452 BQD786452 BZZ786452 CJV786452 CTR786452 DDN786452 DNJ786452 DXF786452 EHB786452 EQX786452 FAT786452 FKP786452 FUL786452 GEH786452 GOD786452 GXZ786452 HHV786452 HRR786452 IBN786452 ILJ786452 IVF786452 JFB786452 JOX786452 JYT786452 KIP786452 KSL786452 LCH786452 LMD786452 LVZ786452 MFV786452 MPR786452 MZN786452 NJJ786452 NTF786452 ODB786452 OMX786452 OWT786452 PGP786452 PQL786452 QAH786452 QKD786452 QTZ786452 RDV786452 RNR786452 RXN786452 SHJ786452 SRF786452 TBB786452 TKX786452 TUT786452 UEP786452 UOL786452 UYH786452 VID786452 VRZ786452 WBV786452 WLR786452 WVN786452 F851988 JB851988 SX851988 ACT851988 AMP851988 AWL851988 BGH851988 BQD851988 BZZ851988 CJV851988 CTR851988 DDN851988 DNJ851988 DXF851988 EHB851988 EQX851988 FAT851988 FKP851988 FUL851988 GEH851988 GOD851988 GXZ851988 HHV851988 HRR851988 IBN851988 ILJ851988 IVF851988 JFB851988 JOX851988 JYT851988 KIP851988 KSL851988 LCH851988 LMD851988 LVZ851988 MFV851988 MPR851988 MZN851988 NJJ851988 NTF851988 ODB851988 OMX851988 OWT851988 PGP851988 PQL851988 QAH851988 QKD851988 QTZ851988 RDV851988 RNR851988 RXN851988 SHJ851988 SRF851988 TBB851988 TKX851988 TUT851988 UEP851988 UOL851988 UYH851988 VID851988 VRZ851988 WBV851988 WLR851988 WVN851988 F917524 JB917524 SX917524 ACT917524 AMP917524 AWL917524 BGH917524 BQD917524 BZZ917524 CJV917524 CTR917524 DDN917524 DNJ917524 DXF917524 EHB917524 EQX917524 FAT917524 FKP917524 FUL917524 GEH917524 GOD917524 GXZ917524 HHV917524 HRR917524 IBN917524 ILJ917524 IVF917524 JFB917524 JOX917524 JYT917524 KIP917524 KSL917524 LCH917524 LMD917524 LVZ917524 MFV917524 MPR917524 MZN917524 NJJ917524 NTF917524 ODB917524 OMX917524 OWT917524 PGP917524 PQL917524 QAH917524 QKD917524 QTZ917524 RDV917524 RNR917524 RXN917524 SHJ917524 SRF917524 TBB917524 TKX917524 TUT917524 UEP917524 UOL917524 UYH917524 VID917524 VRZ917524 WBV917524 WLR917524 WVN917524 F983060 JB983060 SX983060 ACT983060 AMP983060 AWL983060 BGH983060 BQD983060 BZZ983060 CJV983060 CTR983060 DDN983060 DNJ983060 DXF983060 EHB983060 EQX983060 FAT983060 FKP983060 FUL983060 GEH983060 GOD983060 GXZ983060 HHV983060 HRR983060 IBN983060 ILJ983060 IVF983060 JFB983060 JOX983060 JYT983060 KIP983060 KSL983060 LCH983060 LMD983060 LVZ983060 MFV983060 MPR983060 MZN983060 NJJ983060 NTF983060 ODB983060 OMX983060 OWT983060 PGP983060 PQL983060 QAH983060 QKD983060 QTZ983060 RDV983060 RNR983060 RXN983060 SHJ983060 SRF983060 TBB983060 TKX983060 TUT983060 UEP983060 UOL983060 UYH983060 VID983060 VRZ983060 WBV983060 WLR983060 WVN983060"/>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sheetPr codeName="Hoja10"/>
  <dimension ref="A2:D18"/>
  <sheetViews>
    <sheetView workbookViewId="0">
      <selection activeCell="B11" sqref="B11"/>
    </sheetView>
  </sheetViews>
  <sheetFormatPr baseColWidth="10" defaultRowHeight="15"/>
  <cols>
    <col min="1" max="1" width="18.42578125" style="1" customWidth="1"/>
    <col min="2" max="2" width="25.140625" style="1" customWidth="1"/>
    <col min="3" max="3" width="27.5703125" style="1" customWidth="1"/>
    <col min="4" max="16384" width="11.42578125" style="1"/>
  </cols>
  <sheetData>
    <row r="2" spans="1:4">
      <c r="A2" s="48" t="s">
        <v>159</v>
      </c>
    </row>
    <row r="3" spans="1:4" ht="18.75">
      <c r="B3" s="334" t="s">
        <v>98</v>
      </c>
      <c r="C3" s="335"/>
      <c r="D3"/>
    </row>
    <row r="5" spans="1:4" ht="30">
      <c r="B5" s="14" t="s">
        <v>151</v>
      </c>
      <c r="C5" s="16"/>
      <c r="D5" s="2"/>
    </row>
    <row r="7" spans="1:4" ht="20.25" customHeight="1">
      <c r="B7" s="294" t="s">
        <v>209</v>
      </c>
      <c r="C7" s="295"/>
      <c r="D7" s="16"/>
    </row>
    <row r="8" spans="1:4" ht="20.25" customHeight="1">
      <c r="B8" s="296"/>
      <c r="C8" s="297"/>
      <c r="D8" s="16"/>
    </row>
    <row r="9" spans="1:4" ht="20.25" customHeight="1">
      <c r="B9" s="296"/>
      <c r="C9" s="297"/>
      <c r="D9" s="84"/>
    </row>
    <row r="10" spans="1:4" ht="20.25" customHeight="1">
      <c r="B10" s="298"/>
      <c r="C10" s="299"/>
      <c r="D10" s="16"/>
    </row>
    <row r="11" spans="1:4" ht="20.25" customHeight="1">
      <c r="B11" s="74"/>
      <c r="C11" s="74"/>
      <c r="D11" s="16"/>
    </row>
    <row r="12" spans="1:4" ht="20.25" customHeight="1">
      <c r="B12" s="74"/>
      <c r="C12" s="74"/>
      <c r="D12" s="16"/>
    </row>
    <row r="13" spans="1:4" ht="20.25" customHeight="1">
      <c r="B13" s="74"/>
      <c r="C13" s="74"/>
      <c r="D13" s="16"/>
    </row>
    <row r="14" spans="1:4" ht="20.25" customHeight="1">
      <c r="B14" s="74"/>
      <c r="C14" s="74"/>
      <c r="D14" s="16"/>
    </row>
    <row r="15" spans="1:4" ht="28.5" customHeight="1">
      <c r="B15" s="74"/>
      <c r="C15" s="74"/>
      <c r="D15" s="16"/>
    </row>
    <row r="16" spans="1:4">
      <c r="B16" s="16"/>
      <c r="C16" s="16"/>
      <c r="D16" s="16"/>
    </row>
    <row r="17" spans="2:4">
      <c r="B17" s="16"/>
      <c r="C17" s="16"/>
      <c r="D17" s="16"/>
    </row>
    <row r="18" spans="2:4">
      <c r="B18" s="16"/>
      <c r="C18" s="16"/>
      <c r="D18" s="16"/>
    </row>
  </sheetData>
  <sheetProtection password="86F2" sheet="1" objects="1" scenarios="1"/>
  <mergeCells count="2">
    <mergeCell ref="B3:C3"/>
    <mergeCell ref="B7:C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Hoja11"/>
  <dimension ref="A2:I34"/>
  <sheetViews>
    <sheetView topLeftCell="C4" zoomScale="70" zoomScaleNormal="70" workbookViewId="0">
      <selection activeCell="G22" sqref="G22"/>
    </sheetView>
  </sheetViews>
  <sheetFormatPr baseColWidth="10" defaultRowHeight="15"/>
  <cols>
    <col min="1" max="1" width="24.7109375" style="63" customWidth="1"/>
    <col min="2" max="2" width="47.5703125" style="63" customWidth="1"/>
    <col min="3" max="3" width="11.42578125" style="63"/>
    <col min="4" max="4" width="42" style="63" customWidth="1"/>
    <col min="5" max="5" width="22.7109375" style="63" customWidth="1"/>
    <col min="6" max="6" width="27.85546875" style="63" customWidth="1"/>
    <col min="7" max="7" width="16.7109375" style="63" customWidth="1"/>
    <col min="8" max="8" width="16.85546875" style="63" customWidth="1"/>
    <col min="9" max="16384" width="11.42578125" style="63"/>
  </cols>
  <sheetData>
    <row r="2" spans="1:9">
      <c r="A2" s="48" t="s">
        <v>183</v>
      </c>
    </row>
    <row r="7" spans="1:9" ht="15" customHeight="1">
      <c r="A7" s="294" t="s">
        <v>219</v>
      </c>
      <c r="B7" s="295"/>
      <c r="D7" s="336" t="s">
        <v>110</v>
      </c>
      <c r="E7" s="336"/>
      <c r="F7" s="336"/>
      <c r="G7" s="336"/>
      <c r="H7" s="336"/>
    </row>
    <row r="8" spans="1:9" ht="45">
      <c r="A8" s="296"/>
      <c r="B8" s="297"/>
      <c r="D8" s="36" t="s">
        <v>111</v>
      </c>
      <c r="E8" s="21" t="s">
        <v>112</v>
      </c>
      <c r="F8" s="21" t="s">
        <v>113</v>
      </c>
      <c r="G8" s="37" t="s">
        <v>114</v>
      </c>
      <c r="H8" s="37" t="s">
        <v>115</v>
      </c>
    </row>
    <row r="9" spans="1:9">
      <c r="A9" s="296"/>
      <c r="B9" s="297"/>
      <c r="D9" s="31" t="s">
        <v>116</v>
      </c>
      <c r="E9" s="38">
        <v>200000</v>
      </c>
      <c r="F9" s="38">
        <v>50000</v>
      </c>
      <c r="G9" s="39">
        <f>F9+E9</f>
        <v>250000</v>
      </c>
      <c r="H9" s="47">
        <f>$G9/$G$13</f>
        <v>0.8</v>
      </c>
    </row>
    <row r="10" spans="1:9" ht="30" customHeight="1">
      <c r="A10" s="296"/>
      <c r="B10" s="297"/>
      <c r="D10" s="31" t="s">
        <v>117</v>
      </c>
      <c r="E10" s="38">
        <v>40000</v>
      </c>
      <c r="F10" s="38">
        <v>10000</v>
      </c>
      <c r="G10" s="39">
        <f>F10+E10</f>
        <v>50000</v>
      </c>
      <c r="H10" s="47">
        <f>$G10/$G$13</f>
        <v>0.16</v>
      </c>
    </row>
    <row r="11" spans="1:9" ht="48" customHeight="1">
      <c r="A11" s="296"/>
      <c r="B11" s="297"/>
      <c r="D11" s="40" t="s">
        <v>118</v>
      </c>
      <c r="E11" s="38">
        <v>10000</v>
      </c>
      <c r="F11" s="38">
        <v>2500</v>
      </c>
      <c r="G11" s="39">
        <f>F11+E11</f>
        <v>12500</v>
      </c>
      <c r="H11" s="47">
        <f>$G11/$G$13</f>
        <v>0.04</v>
      </c>
    </row>
    <row r="12" spans="1:9">
      <c r="A12" s="296"/>
      <c r="B12" s="297"/>
      <c r="D12" s="31" t="s">
        <v>119</v>
      </c>
      <c r="E12" s="38"/>
      <c r="F12" s="38"/>
      <c r="G12" s="39">
        <f>F12+E12</f>
        <v>0</v>
      </c>
      <c r="H12" s="47">
        <f>$G12/$G$13</f>
        <v>0</v>
      </c>
      <c r="I12" s="43"/>
    </row>
    <row r="13" spans="1:9">
      <c r="A13" s="296"/>
      <c r="B13" s="297"/>
      <c r="D13" s="41" t="s">
        <v>120</v>
      </c>
      <c r="E13" s="39">
        <f>SUM(E9:E12)</f>
        <v>250000</v>
      </c>
      <c r="F13" s="39">
        <f>SUM(F9:F12)</f>
        <v>62500</v>
      </c>
      <c r="G13" s="39">
        <f>F13+E13</f>
        <v>312500</v>
      </c>
      <c r="H13" s="47">
        <f>SUM(H9:H12)</f>
        <v>1</v>
      </c>
      <c r="I13" s="44">
        <f>(G13/100)*20</f>
        <v>62500</v>
      </c>
    </row>
    <row r="14" spans="1:9">
      <c r="A14" s="296"/>
      <c r="B14" s="297"/>
      <c r="D14" s="13" t="s">
        <v>107</v>
      </c>
      <c r="E14" s="42">
        <f>E13/G13</f>
        <v>0.8</v>
      </c>
      <c r="F14" s="42">
        <f>F13/G13</f>
        <v>0.2</v>
      </c>
      <c r="G14" s="28">
        <f>SUM(E14+F14)</f>
        <v>1</v>
      </c>
      <c r="H14" s="43"/>
      <c r="I14" s="43"/>
    </row>
    <row r="15" spans="1:9">
      <c r="A15" s="296"/>
      <c r="B15" s="297"/>
      <c r="G15" s="43"/>
      <c r="H15" s="43"/>
      <c r="I15" s="43"/>
    </row>
    <row r="16" spans="1:9" ht="30" customHeight="1">
      <c r="A16" s="296"/>
      <c r="B16" s="297"/>
      <c r="G16" s="43"/>
      <c r="H16" s="43"/>
      <c r="I16" s="43"/>
    </row>
    <row r="17" spans="1:9" ht="30" customHeight="1">
      <c r="A17" s="296"/>
      <c r="B17" s="297"/>
      <c r="G17" s="43"/>
      <c r="H17" s="43"/>
      <c r="I17" s="43"/>
    </row>
    <row r="18" spans="1:9" ht="45" customHeight="1">
      <c r="A18" s="296"/>
      <c r="B18" s="297"/>
      <c r="G18" s="43"/>
      <c r="H18" s="43"/>
      <c r="I18" s="43"/>
    </row>
    <row r="19" spans="1:9">
      <c r="A19" s="296"/>
      <c r="B19" s="297"/>
      <c r="G19" s="43"/>
      <c r="H19" s="43"/>
      <c r="I19" s="43"/>
    </row>
    <row r="20" spans="1:9">
      <c r="A20" s="296"/>
      <c r="B20" s="297"/>
      <c r="D20" s="68"/>
      <c r="E20" s="43"/>
      <c r="F20" s="67"/>
      <c r="G20" s="43"/>
      <c r="H20" s="43"/>
      <c r="I20" s="43"/>
    </row>
    <row r="21" spans="1:9" ht="35.1" customHeight="1">
      <c r="A21" s="296"/>
      <c r="B21" s="297"/>
      <c r="D21" s="331" t="s">
        <v>246</v>
      </c>
      <c r="E21" s="332"/>
      <c r="F21" s="333"/>
      <c r="G21" s="44">
        <f>(F13/100)*25</f>
        <v>15625</v>
      </c>
      <c r="H21" s="43"/>
      <c r="I21" s="43"/>
    </row>
    <row r="22" spans="1:9">
      <c r="A22" s="296"/>
      <c r="B22" s="297"/>
      <c r="D22" s="31" t="s">
        <v>105</v>
      </c>
      <c r="E22" s="31" t="s">
        <v>106</v>
      </c>
      <c r="F22" s="32" t="s">
        <v>107</v>
      </c>
      <c r="H22" s="43"/>
      <c r="I22" s="43"/>
    </row>
    <row r="23" spans="1:9">
      <c r="A23" s="296"/>
      <c r="B23" s="297"/>
      <c r="D23" s="31" t="s">
        <v>218</v>
      </c>
      <c r="E23" s="33">
        <v>20000</v>
      </c>
      <c r="F23" s="65">
        <f>$E23/$F$13</f>
        <v>0.32</v>
      </c>
      <c r="H23" s="43"/>
      <c r="I23" s="43"/>
    </row>
    <row r="24" spans="1:9">
      <c r="A24" s="296"/>
      <c r="B24" s="297"/>
      <c r="D24" s="31" t="s">
        <v>108</v>
      </c>
      <c r="E24" s="33">
        <v>500</v>
      </c>
      <c r="F24" s="65">
        <f>$E24/$F$13</f>
        <v>8.0000000000000002E-3</v>
      </c>
      <c r="H24" s="43"/>
      <c r="I24" s="43"/>
    </row>
    <row r="25" spans="1:9">
      <c r="A25" s="296"/>
      <c r="B25" s="297"/>
      <c r="D25" s="31" t="s">
        <v>109</v>
      </c>
      <c r="E25" s="45">
        <v>42000</v>
      </c>
      <c r="F25" s="65">
        <f>$E25/$F$13</f>
        <v>0.67200000000000004</v>
      </c>
    </row>
    <row r="26" spans="1:9">
      <c r="A26" s="296"/>
      <c r="B26" s="297"/>
      <c r="D26" s="31" t="s">
        <v>106</v>
      </c>
      <c r="E26" s="66">
        <f>SUM(E23:E25)</f>
        <v>62500</v>
      </c>
      <c r="F26" s="65">
        <f>$E26/$F$13</f>
        <v>1</v>
      </c>
    </row>
    <row r="27" spans="1:9">
      <c r="A27" s="296"/>
      <c r="B27" s="297"/>
    </row>
    <row r="28" spans="1:9">
      <c r="A28" s="296"/>
      <c r="B28" s="297"/>
    </row>
    <row r="29" spans="1:9">
      <c r="A29" s="296"/>
      <c r="B29" s="297"/>
    </row>
    <row r="30" spans="1:9">
      <c r="A30" s="296"/>
      <c r="B30" s="297"/>
    </row>
    <row r="31" spans="1:9">
      <c r="A31" s="296"/>
      <c r="B31" s="297"/>
      <c r="F31" s="64"/>
    </row>
    <row r="32" spans="1:9">
      <c r="A32" s="296"/>
      <c r="B32" s="297"/>
    </row>
    <row r="33" spans="1:2">
      <c r="A33" s="296"/>
      <c r="B33" s="297"/>
    </row>
    <row r="34" spans="1:2">
      <c r="A34" s="298"/>
      <c r="B34" s="299"/>
    </row>
  </sheetData>
  <sheetProtection password="86F2" sheet="1" objects="1" scenarios="1"/>
  <mergeCells count="3">
    <mergeCell ref="D7:H7"/>
    <mergeCell ref="D21:F21"/>
    <mergeCell ref="A7:B34"/>
  </mergeCells>
  <conditionalFormatting sqref="E23">
    <cfRule type="cellIs" dxfId="15" priority="15" operator="greaterThanOrEqual">
      <formula>$G$21</formula>
    </cfRule>
    <cfRule type="cellIs" dxfId="14" priority="16" operator="lessThan">
      <formula>$G$21</formula>
    </cfRule>
  </conditionalFormatting>
  <conditionalFormatting sqref="E14">
    <cfRule type="cellIs" dxfId="13" priority="13" operator="greaterThan">
      <formula>0.8</formula>
    </cfRule>
    <cfRule type="cellIs" dxfId="12" priority="14" operator="lessThanOrEqual">
      <formula>0.8</formula>
    </cfRule>
  </conditionalFormatting>
  <conditionalFormatting sqref="F14">
    <cfRule type="cellIs" dxfId="11" priority="11" operator="greaterThanOrEqual">
      <formula>0.2</formula>
    </cfRule>
    <cfRule type="cellIs" dxfId="10" priority="12" operator="lessThan">
      <formula>0.2</formula>
    </cfRule>
  </conditionalFormatting>
  <conditionalFormatting sqref="E26">
    <cfRule type="cellIs" dxfId="9" priority="9" operator="notEqual">
      <formula>$F$13</formula>
    </cfRule>
    <cfRule type="cellIs" dxfId="8" priority="10" operator="equal">
      <formula>$F$13</formula>
    </cfRule>
  </conditionalFormatting>
  <conditionalFormatting sqref="E13">
    <cfRule type="cellIs" dxfId="7" priority="7" stopIfTrue="1" operator="greaterThan">
      <formula>250000</formula>
    </cfRule>
    <cfRule type="cellIs" dxfId="6" priority="8" stopIfTrue="1" operator="lessThanOrEqual">
      <formula>250000</formula>
    </cfRule>
  </conditionalFormatting>
  <conditionalFormatting sqref="F13">
    <cfRule type="cellIs" dxfId="5" priority="5" stopIfTrue="1" operator="greaterThanOrEqual">
      <formula>$I$13</formula>
    </cfRule>
    <cfRule type="cellIs" dxfId="4" priority="6" stopIfTrue="1" operator="lessThan">
      <formula>$I$13</formula>
    </cfRule>
  </conditionalFormatting>
  <conditionalFormatting sqref="F23">
    <cfRule type="cellIs" dxfId="3" priority="3" stopIfTrue="1" operator="greaterThanOrEqual">
      <formula>0.25</formula>
    </cfRule>
    <cfRule type="cellIs" dxfId="2" priority="4" stopIfTrue="1" operator="lessThan">
      <formula>0.25</formula>
    </cfRule>
  </conditionalFormatting>
  <conditionalFormatting sqref="F26">
    <cfRule type="cellIs" dxfId="1" priority="1" stopIfTrue="1" operator="notEqual">
      <formula>1</formula>
    </cfRule>
    <cfRule type="cellIs" dxfId="0" priority="2" stopIfTrue="1" operator="equal">
      <formula>1</formula>
    </cfRule>
  </conditionalFormatting>
  <dataValidations count="1">
    <dataValidation type="decimal" operator="greaterThan" allowBlank="1" showInputMessage="1" showErrorMessage="1" sqref="E13 JA13 SW13 ACS13 AMO13 AWK13 BGG13 BQC13 BZY13 CJU13 CTQ13 DDM13 DNI13 DXE13 EHA13 EQW13 FAS13 FKO13 FUK13 GEG13 GOC13 GXY13 HHU13 HRQ13 IBM13 ILI13 IVE13 JFA13 JOW13 JYS13 KIO13 KSK13 LCG13 LMC13 LVY13 MFU13 MPQ13 MZM13 NJI13 NTE13 ODA13 OMW13 OWS13 PGO13 PQK13 QAG13 QKC13 QTY13 RDU13 RNQ13 RXM13 SHI13 SRE13 TBA13 TKW13 TUS13 UEO13 UOK13 UYG13 VIC13 VRY13 WBU13 WLQ13 WVM13 E65549 JA65549 SW65549 ACS65549 AMO65549 AWK65549 BGG65549 BQC65549 BZY65549 CJU65549 CTQ65549 DDM65549 DNI65549 DXE65549 EHA65549 EQW65549 FAS65549 FKO65549 FUK65549 GEG65549 GOC65549 GXY65549 HHU65549 HRQ65549 IBM65549 ILI65549 IVE65549 JFA65549 JOW65549 JYS65549 KIO65549 KSK65549 LCG65549 LMC65549 LVY65549 MFU65549 MPQ65549 MZM65549 NJI65549 NTE65549 ODA65549 OMW65549 OWS65549 PGO65549 PQK65549 QAG65549 QKC65549 QTY65549 RDU65549 RNQ65549 RXM65549 SHI65549 SRE65549 TBA65549 TKW65549 TUS65549 UEO65549 UOK65549 UYG65549 VIC65549 VRY65549 WBU65549 WLQ65549 WVM65549 E131085 JA131085 SW131085 ACS131085 AMO131085 AWK131085 BGG131085 BQC131085 BZY131085 CJU131085 CTQ131085 DDM131085 DNI131085 DXE131085 EHA131085 EQW131085 FAS131085 FKO131085 FUK131085 GEG131085 GOC131085 GXY131085 HHU131085 HRQ131085 IBM131085 ILI131085 IVE131085 JFA131085 JOW131085 JYS131085 KIO131085 KSK131085 LCG131085 LMC131085 LVY131085 MFU131085 MPQ131085 MZM131085 NJI131085 NTE131085 ODA131085 OMW131085 OWS131085 PGO131085 PQK131085 QAG131085 QKC131085 QTY131085 RDU131085 RNQ131085 RXM131085 SHI131085 SRE131085 TBA131085 TKW131085 TUS131085 UEO131085 UOK131085 UYG131085 VIC131085 VRY131085 WBU131085 WLQ131085 WVM131085 E196621 JA196621 SW196621 ACS196621 AMO196621 AWK196621 BGG196621 BQC196621 BZY196621 CJU196621 CTQ196621 DDM196621 DNI196621 DXE196621 EHA196621 EQW196621 FAS196621 FKO196621 FUK196621 GEG196621 GOC196621 GXY196621 HHU196621 HRQ196621 IBM196621 ILI196621 IVE196621 JFA196621 JOW196621 JYS196621 KIO196621 KSK196621 LCG196621 LMC196621 LVY196621 MFU196621 MPQ196621 MZM196621 NJI196621 NTE196621 ODA196621 OMW196621 OWS196621 PGO196621 PQK196621 QAG196621 QKC196621 QTY196621 RDU196621 RNQ196621 RXM196621 SHI196621 SRE196621 TBA196621 TKW196621 TUS196621 UEO196621 UOK196621 UYG196621 VIC196621 VRY196621 WBU196621 WLQ196621 WVM196621 E262157 JA262157 SW262157 ACS262157 AMO262157 AWK262157 BGG262157 BQC262157 BZY262157 CJU262157 CTQ262157 DDM262157 DNI262157 DXE262157 EHA262157 EQW262157 FAS262157 FKO262157 FUK262157 GEG262157 GOC262157 GXY262157 HHU262157 HRQ262157 IBM262157 ILI262157 IVE262157 JFA262157 JOW262157 JYS262157 KIO262157 KSK262157 LCG262157 LMC262157 LVY262157 MFU262157 MPQ262157 MZM262157 NJI262157 NTE262157 ODA262157 OMW262157 OWS262157 PGO262157 PQK262157 QAG262157 QKC262157 QTY262157 RDU262157 RNQ262157 RXM262157 SHI262157 SRE262157 TBA262157 TKW262157 TUS262157 UEO262157 UOK262157 UYG262157 VIC262157 VRY262157 WBU262157 WLQ262157 WVM262157 E327693 JA327693 SW327693 ACS327693 AMO327693 AWK327693 BGG327693 BQC327693 BZY327693 CJU327693 CTQ327693 DDM327693 DNI327693 DXE327693 EHA327693 EQW327693 FAS327693 FKO327693 FUK327693 GEG327693 GOC327693 GXY327693 HHU327693 HRQ327693 IBM327693 ILI327693 IVE327693 JFA327693 JOW327693 JYS327693 KIO327693 KSK327693 LCG327693 LMC327693 LVY327693 MFU327693 MPQ327693 MZM327693 NJI327693 NTE327693 ODA327693 OMW327693 OWS327693 PGO327693 PQK327693 QAG327693 QKC327693 QTY327693 RDU327693 RNQ327693 RXM327693 SHI327693 SRE327693 TBA327693 TKW327693 TUS327693 UEO327693 UOK327693 UYG327693 VIC327693 VRY327693 WBU327693 WLQ327693 WVM327693 E393229 JA393229 SW393229 ACS393229 AMO393229 AWK393229 BGG393229 BQC393229 BZY393229 CJU393229 CTQ393229 DDM393229 DNI393229 DXE393229 EHA393229 EQW393229 FAS393229 FKO393229 FUK393229 GEG393229 GOC393229 GXY393229 HHU393229 HRQ393229 IBM393229 ILI393229 IVE393229 JFA393229 JOW393229 JYS393229 KIO393229 KSK393229 LCG393229 LMC393229 LVY393229 MFU393229 MPQ393229 MZM393229 NJI393229 NTE393229 ODA393229 OMW393229 OWS393229 PGO393229 PQK393229 QAG393229 QKC393229 QTY393229 RDU393229 RNQ393229 RXM393229 SHI393229 SRE393229 TBA393229 TKW393229 TUS393229 UEO393229 UOK393229 UYG393229 VIC393229 VRY393229 WBU393229 WLQ393229 WVM393229 E458765 JA458765 SW458765 ACS458765 AMO458765 AWK458765 BGG458765 BQC458765 BZY458765 CJU458765 CTQ458765 DDM458765 DNI458765 DXE458765 EHA458765 EQW458765 FAS458765 FKO458765 FUK458765 GEG458765 GOC458765 GXY458765 HHU458765 HRQ458765 IBM458765 ILI458765 IVE458765 JFA458765 JOW458765 JYS458765 KIO458765 KSK458765 LCG458765 LMC458765 LVY458765 MFU458765 MPQ458765 MZM458765 NJI458765 NTE458765 ODA458765 OMW458765 OWS458765 PGO458765 PQK458765 QAG458765 QKC458765 QTY458765 RDU458765 RNQ458765 RXM458765 SHI458765 SRE458765 TBA458765 TKW458765 TUS458765 UEO458765 UOK458765 UYG458765 VIC458765 VRY458765 WBU458765 WLQ458765 WVM458765 E524301 JA524301 SW524301 ACS524301 AMO524301 AWK524301 BGG524301 BQC524301 BZY524301 CJU524301 CTQ524301 DDM524301 DNI524301 DXE524301 EHA524301 EQW524301 FAS524301 FKO524301 FUK524301 GEG524301 GOC524301 GXY524301 HHU524301 HRQ524301 IBM524301 ILI524301 IVE524301 JFA524301 JOW524301 JYS524301 KIO524301 KSK524301 LCG524301 LMC524301 LVY524301 MFU524301 MPQ524301 MZM524301 NJI524301 NTE524301 ODA524301 OMW524301 OWS524301 PGO524301 PQK524301 QAG524301 QKC524301 QTY524301 RDU524301 RNQ524301 RXM524301 SHI524301 SRE524301 TBA524301 TKW524301 TUS524301 UEO524301 UOK524301 UYG524301 VIC524301 VRY524301 WBU524301 WLQ524301 WVM524301 E589837 JA589837 SW589837 ACS589837 AMO589837 AWK589837 BGG589837 BQC589837 BZY589837 CJU589837 CTQ589837 DDM589837 DNI589837 DXE589837 EHA589837 EQW589837 FAS589837 FKO589837 FUK589837 GEG589837 GOC589837 GXY589837 HHU589837 HRQ589837 IBM589837 ILI589837 IVE589837 JFA589837 JOW589837 JYS589837 KIO589837 KSK589837 LCG589837 LMC589837 LVY589837 MFU589837 MPQ589837 MZM589837 NJI589837 NTE589837 ODA589837 OMW589837 OWS589837 PGO589837 PQK589837 QAG589837 QKC589837 QTY589837 RDU589837 RNQ589837 RXM589837 SHI589837 SRE589837 TBA589837 TKW589837 TUS589837 UEO589837 UOK589837 UYG589837 VIC589837 VRY589837 WBU589837 WLQ589837 WVM589837 E655373 JA655373 SW655373 ACS655373 AMO655373 AWK655373 BGG655373 BQC655373 BZY655373 CJU655373 CTQ655373 DDM655373 DNI655373 DXE655373 EHA655373 EQW655373 FAS655373 FKO655373 FUK655373 GEG655373 GOC655373 GXY655373 HHU655373 HRQ655373 IBM655373 ILI655373 IVE655373 JFA655373 JOW655373 JYS655373 KIO655373 KSK655373 LCG655373 LMC655373 LVY655373 MFU655373 MPQ655373 MZM655373 NJI655373 NTE655373 ODA655373 OMW655373 OWS655373 PGO655373 PQK655373 QAG655373 QKC655373 QTY655373 RDU655373 RNQ655373 RXM655373 SHI655373 SRE655373 TBA655373 TKW655373 TUS655373 UEO655373 UOK655373 UYG655373 VIC655373 VRY655373 WBU655373 WLQ655373 WVM655373 E720909 JA720909 SW720909 ACS720909 AMO720909 AWK720909 BGG720909 BQC720909 BZY720909 CJU720909 CTQ720909 DDM720909 DNI720909 DXE720909 EHA720909 EQW720909 FAS720909 FKO720909 FUK720909 GEG720909 GOC720909 GXY720909 HHU720909 HRQ720909 IBM720909 ILI720909 IVE720909 JFA720909 JOW720909 JYS720909 KIO720909 KSK720909 LCG720909 LMC720909 LVY720909 MFU720909 MPQ720909 MZM720909 NJI720909 NTE720909 ODA720909 OMW720909 OWS720909 PGO720909 PQK720909 QAG720909 QKC720909 QTY720909 RDU720909 RNQ720909 RXM720909 SHI720909 SRE720909 TBA720909 TKW720909 TUS720909 UEO720909 UOK720909 UYG720909 VIC720909 VRY720909 WBU720909 WLQ720909 WVM720909 E786445 JA786445 SW786445 ACS786445 AMO786445 AWK786445 BGG786445 BQC786445 BZY786445 CJU786445 CTQ786445 DDM786445 DNI786445 DXE786445 EHA786445 EQW786445 FAS786445 FKO786445 FUK786445 GEG786445 GOC786445 GXY786445 HHU786445 HRQ786445 IBM786445 ILI786445 IVE786445 JFA786445 JOW786445 JYS786445 KIO786445 KSK786445 LCG786445 LMC786445 LVY786445 MFU786445 MPQ786445 MZM786445 NJI786445 NTE786445 ODA786445 OMW786445 OWS786445 PGO786445 PQK786445 QAG786445 QKC786445 QTY786445 RDU786445 RNQ786445 RXM786445 SHI786445 SRE786445 TBA786445 TKW786445 TUS786445 UEO786445 UOK786445 UYG786445 VIC786445 VRY786445 WBU786445 WLQ786445 WVM786445 E851981 JA851981 SW851981 ACS851981 AMO851981 AWK851981 BGG851981 BQC851981 BZY851981 CJU851981 CTQ851981 DDM851981 DNI851981 DXE851981 EHA851981 EQW851981 FAS851981 FKO851981 FUK851981 GEG851981 GOC851981 GXY851981 HHU851981 HRQ851981 IBM851981 ILI851981 IVE851981 JFA851981 JOW851981 JYS851981 KIO851981 KSK851981 LCG851981 LMC851981 LVY851981 MFU851981 MPQ851981 MZM851981 NJI851981 NTE851981 ODA851981 OMW851981 OWS851981 PGO851981 PQK851981 QAG851981 QKC851981 QTY851981 RDU851981 RNQ851981 RXM851981 SHI851981 SRE851981 TBA851981 TKW851981 TUS851981 UEO851981 UOK851981 UYG851981 VIC851981 VRY851981 WBU851981 WLQ851981 WVM851981 E917517 JA917517 SW917517 ACS917517 AMO917517 AWK917517 BGG917517 BQC917517 BZY917517 CJU917517 CTQ917517 DDM917517 DNI917517 DXE917517 EHA917517 EQW917517 FAS917517 FKO917517 FUK917517 GEG917517 GOC917517 GXY917517 HHU917517 HRQ917517 IBM917517 ILI917517 IVE917517 JFA917517 JOW917517 JYS917517 KIO917517 KSK917517 LCG917517 LMC917517 LVY917517 MFU917517 MPQ917517 MZM917517 NJI917517 NTE917517 ODA917517 OMW917517 OWS917517 PGO917517 PQK917517 QAG917517 QKC917517 QTY917517 RDU917517 RNQ917517 RXM917517 SHI917517 SRE917517 TBA917517 TKW917517 TUS917517 UEO917517 UOK917517 UYG917517 VIC917517 VRY917517 WBU917517 WLQ917517 WVM917517 E983053 JA983053 SW983053 ACS983053 AMO983053 AWK983053 BGG983053 BQC983053 BZY983053 CJU983053 CTQ983053 DDM983053 DNI983053 DXE983053 EHA983053 EQW983053 FAS983053 FKO983053 FUK983053 GEG983053 GOC983053 GXY983053 HHU983053 HRQ983053 IBM983053 ILI983053 IVE983053 JFA983053 JOW983053 JYS983053 KIO983053 KSK983053 LCG983053 LMC983053 LVY983053 MFU983053 MPQ983053 MZM983053 NJI983053 NTE983053 ODA983053 OMW983053 OWS983053 PGO983053 PQK983053 QAG983053 QKC983053 QTY983053 RDU983053 RNQ983053 RXM983053 SHI983053 SRE983053 TBA983053 TKW983053 TUS983053 UEO983053 UOK983053 UYG983053 VIC983053 VRY983053 WBU983053 WLQ983053 WVM983053">
      <formula1>250000.01</formula1>
    </dataValidation>
  </dataValidations>
  <pageMargins left="0.7" right="0.7" top="0.75" bottom="0.75" header="0.3" footer="0.3"/>
  <pageSetup orientation="portrait" horizontalDpi="4294967294" verticalDpi="4294967294" r:id="rId1"/>
  <drawing r:id="rId2"/>
  <legacyDrawing r:id="rId3"/>
</worksheet>
</file>

<file path=xl/worksheets/sheet11.xml><?xml version="1.0" encoding="utf-8"?>
<worksheet xmlns="http://schemas.openxmlformats.org/spreadsheetml/2006/main" xmlns:r="http://schemas.openxmlformats.org/officeDocument/2006/relationships">
  <sheetPr codeName="Hoja12"/>
  <dimension ref="A2:O195"/>
  <sheetViews>
    <sheetView topLeftCell="A10" zoomScale="80" zoomScaleNormal="80" workbookViewId="0">
      <selection activeCell="M26" sqref="M26"/>
    </sheetView>
  </sheetViews>
  <sheetFormatPr baseColWidth="10" defaultRowHeight="15"/>
  <cols>
    <col min="1" max="2" width="20.42578125" style="1" customWidth="1"/>
    <col min="3" max="16384" width="11.42578125" style="1"/>
  </cols>
  <sheetData>
    <row r="2" spans="1:10">
      <c r="A2" s="48" t="s">
        <v>183</v>
      </c>
      <c r="B2" s="69"/>
    </row>
    <row r="4" spans="1:10">
      <c r="C4" s="342" t="s">
        <v>140</v>
      </c>
      <c r="D4" s="343"/>
      <c r="E4" s="343"/>
      <c r="F4" s="344"/>
    </row>
    <row r="5" spans="1:10">
      <c r="B5" s="46" t="s">
        <v>191</v>
      </c>
    </row>
    <row r="6" spans="1:10" ht="15.75" customHeight="1">
      <c r="C6" s="294" t="s">
        <v>221</v>
      </c>
      <c r="D6" s="345"/>
      <c r="E6" s="345"/>
      <c r="F6" s="345"/>
      <c r="G6" s="345"/>
      <c r="H6" s="345"/>
      <c r="I6" s="345"/>
      <c r="J6" s="295"/>
    </row>
    <row r="7" spans="1:10">
      <c r="C7" s="296"/>
      <c r="D7" s="346"/>
      <c r="E7" s="346"/>
      <c r="F7" s="346"/>
      <c r="G7" s="346"/>
      <c r="H7" s="346"/>
      <c r="I7" s="346"/>
      <c r="J7" s="297"/>
    </row>
    <row r="8" spans="1:10">
      <c r="C8" s="296"/>
      <c r="D8" s="346"/>
      <c r="E8" s="346"/>
      <c r="F8" s="346"/>
      <c r="G8" s="346"/>
      <c r="H8" s="346"/>
      <c r="I8" s="346"/>
      <c r="J8" s="297"/>
    </row>
    <row r="9" spans="1:10">
      <c r="C9" s="296"/>
      <c r="D9" s="346"/>
      <c r="E9" s="346"/>
      <c r="F9" s="346"/>
      <c r="G9" s="346"/>
      <c r="H9" s="346"/>
      <c r="I9" s="346"/>
      <c r="J9" s="297"/>
    </row>
    <row r="10" spans="1:10">
      <c r="C10" s="296"/>
      <c r="D10" s="346"/>
      <c r="E10" s="346"/>
      <c r="F10" s="346"/>
      <c r="G10" s="346"/>
      <c r="H10" s="346"/>
      <c r="I10" s="346"/>
      <c r="J10" s="297"/>
    </row>
    <row r="11" spans="1:10">
      <c r="C11" s="296"/>
      <c r="D11" s="346"/>
      <c r="E11" s="346"/>
      <c r="F11" s="346"/>
      <c r="G11" s="346"/>
      <c r="H11" s="346"/>
      <c r="I11" s="346"/>
      <c r="J11" s="297"/>
    </row>
    <row r="12" spans="1:10">
      <c r="C12" s="296"/>
      <c r="D12" s="346"/>
      <c r="E12" s="346"/>
      <c r="F12" s="346"/>
      <c r="G12" s="346"/>
      <c r="H12" s="346"/>
      <c r="I12" s="346"/>
      <c r="J12" s="297"/>
    </row>
    <row r="13" spans="1:10">
      <c r="C13" s="296"/>
      <c r="D13" s="346"/>
      <c r="E13" s="346"/>
      <c r="F13" s="346"/>
      <c r="G13" s="346"/>
      <c r="H13" s="346"/>
      <c r="I13" s="346"/>
      <c r="J13" s="297"/>
    </row>
    <row r="14" spans="1:10">
      <c r="C14" s="296"/>
      <c r="D14" s="346"/>
      <c r="E14" s="346"/>
      <c r="F14" s="346"/>
      <c r="G14" s="346"/>
      <c r="H14" s="346"/>
      <c r="I14" s="346"/>
      <c r="J14" s="297"/>
    </row>
    <row r="15" spans="1:10">
      <c r="C15" s="296"/>
      <c r="D15" s="346"/>
      <c r="E15" s="346"/>
      <c r="F15" s="346"/>
      <c r="G15" s="346"/>
      <c r="H15" s="346"/>
      <c r="I15" s="346"/>
      <c r="J15" s="297"/>
    </row>
    <row r="16" spans="1:10">
      <c r="C16" s="296"/>
      <c r="D16" s="346"/>
      <c r="E16" s="346"/>
      <c r="F16" s="346"/>
      <c r="G16" s="346"/>
      <c r="H16" s="346"/>
      <c r="I16" s="346"/>
      <c r="J16" s="297"/>
    </row>
    <row r="17" spans="2:12">
      <c r="C17" s="296"/>
      <c r="D17" s="346"/>
      <c r="E17" s="346"/>
      <c r="F17" s="346"/>
      <c r="G17" s="346"/>
      <c r="H17" s="346"/>
      <c r="I17" s="346"/>
      <c r="J17" s="297"/>
    </row>
    <row r="18" spans="2:12">
      <c r="C18" s="296"/>
      <c r="D18" s="346"/>
      <c r="E18" s="346"/>
      <c r="F18" s="346"/>
      <c r="G18" s="346"/>
      <c r="H18" s="346"/>
      <c r="I18" s="346"/>
      <c r="J18" s="297"/>
    </row>
    <row r="19" spans="2:12">
      <c r="C19" s="296"/>
      <c r="D19" s="346"/>
      <c r="E19" s="346"/>
      <c r="F19" s="346"/>
      <c r="G19" s="346"/>
      <c r="H19" s="346"/>
      <c r="I19" s="346"/>
      <c r="J19" s="297"/>
    </row>
    <row r="20" spans="2:12">
      <c r="C20" s="296"/>
      <c r="D20" s="346"/>
      <c r="E20" s="346"/>
      <c r="F20" s="346"/>
      <c r="G20" s="346"/>
      <c r="H20" s="346"/>
      <c r="I20" s="346"/>
      <c r="J20" s="297"/>
    </row>
    <row r="21" spans="2:12">
      <c r="C21" s="296"/>
      <c r="D21" s="346"/>
      <c r="E21" s="346"/>
      <c r="F21" s="346"/>
      <c r="G21" s="346"/>
      <c r="H21" s="346"/>
      <c r="I21" s="346"/>
      <c r="J21" s="297"/>
    </row>
    <row r="22" spans="2:12">
      <c r="C22" s="296"/>
      <c r="D22" s="346"/>
      <c r="E22" s="346"/>
      <c r="F22" s="346"/>
      <c r="G22" s="346"/>
      <c r="H22" s="346"/>
      <c r="I22" s="346"/>
      <c r="J22" s="297"/>
    </row>
    <row r="23" spans="2:12" ht="57" customHeight="1">
      <c r="C23" s="298"/>
      <c r="D23" s="347"/>
      <c r="E23" s="347"/>
      <c r="F23" s="347"/>
      <c r="G23" s="347"/>
      <c r="H23" s="347"/>
      <c r="I23" s="347"/>
      <c r="J23" s="299"/>
    </row>
    <row r="25" spans="2:12">
      <c r="B25" s="46" t="s">
        <v>190</v>
      </c>
    </row>
    <row r="26" spans="2:12">
      <c r="C26" s="339" t="s">
        <v>189</v>
      </c>
      <c r="D26" s="340"/>
      <c r="E26" s="340"/>
      <c r="F26" s="340"/>
      <c r="G26" s="340"/>
      <c r="H26" s="340"/>
      <c r="I26" s="340"/>
      <c r="J26" s="341"/>
    </row>
    <row r="28" spans="2:12">
      <c r="B28" s="46" t="s">
        <v>188</v>
      </c>
    </row>
    <row r="30" spans="2:12" ht="15" customHeight="1">
      <c r="C30" s="71" t="s">
        <v>199</v>
      </c>
      <c r="D30" s="72"/>
      <c r="E30" s="72"/>
      <c r="F30" s="72"/>
      <c r="G30" s="72"/>
      <c r="H30" s="72"/>
      <c r="I30" s="72"/>
      <c r="J30" s="72"/>
      <c r="K30" s="76"/>
      <c r="L30" s="77"/>
    </row>
    <row r="31" spans="2:12">
      <c r="C31" s="73"/>
      <c r="D31" s="74"/>
      <c r="E31" s="74"/>
      <c r="F31" s="74"/>
      <c r="G31" s="74"/>
      <c r="H31" s="74"/>
      <c r="I31" s="74"/>
      <c r="J31" s="74"/>
      <c r="K31" s="16"/>
      <c r="L31" s="78"/>
    </row>
    <row r="32" spans="2:12">
      <c r="C32" s="73"/>
      <c r="D32" s="74"/>
      <c r="E32" s="74"/>
      <c r="F32" s="74"/>
      <c r="G32" s="74"/>
      <c r="H32" s="74"/>
      <c r="I32" s="74"/>
      <c r="J32" s="74"/>
      <c r="K32" s="16"/>
      <c r="L32" s="78"/>
    </row>
    <row r="33" spans="3:12">
      <c r="C33" s="73"/>
      <c r="D33" s="74"/>
      <c r="E33" s="74"/>
      <c r="F33" s="74"/>
      <c r="G33" s="74"/>
      <c r="H33" s="74"/>
      <c r="I33" s="74"/>
      <c r="J33" s="74"/>
      <c r="K33" s="16"/>
      <c r="L33" s="78"/>
    </row>
    <row r="34" spans="3:12">
      <c r="C34" s="73"/>
      <c r="D34" s="74"/>
      <c r="E34" s="74"/>
      <c r="F34" s="74"/>
      <c r="G34" s="74"/>
      <c r="H34" s="74"/>
      <c r="I34" s="74"/>
      <c r="J34" s="74"/>
      <c r="K34" s="16"/>
      <c r="L34" s="78"/>
    </row>
    <row r="35" spans="3:12">
      <c r="C35" s="73"/>
      <c r="D35" s="74"/>
      <c r="E35" s="74"/>
      <c r="F35" s="74"/>
      <c r="G35" s="74"/>
      <c r="H35" s="74"/>
      <c r="I35" s="74"/>
      <c r="J35" s="74"/>
      <c r="K35" s="16"/>
      <c r="L35" s="78"/>
    </row>
    <row r="36" spans="3:12">
      <c r="C36" s="73"/>
      <c r="D36" s="74"/>
      <c r="E36" s="74"/>
      <c r="F36" s="74"/>
      <c r="G36" s="74"/>
      <c r="H36" s="74"/>
      <c r="I36" s="74"/>
      <c r="J36" s="74"/>
      <c r="K36" s="16"/>
      <c r="L36" s="78"/>
    </row>
    <row r="37" spans="3:12">
      <c r="C37" s="73"/>
      <c r="D37" s="74"/>
      <c r="E37" s="74"/>
      <c r="F37" s="74"/>
      <c r="G37" s="74"/>
      <c r="H37" s="74"/>
      <c r="I37" s="74"/>
      <c r="J37" s="74"/>
      <c r="K37" s="16"/>
      <c r="L37" s="78"/>
    </row>
    <row r="38" spans="3:12">
      <c r="C38" s="73"/>
      <c r="D38" s="74"/>
      <c r="E38" s="74"/>
      <c r="F38" s="74"/>
      <c r="G38" s="74"/>
      <c r="H38" s="74"/>
      <c r="I38" s="74"/>
      <c r="J38" s="74"/>
      <c r="K38" s="16"/>
      <c r="L38" s="78"/>
    </row>
    <row r="39" spans="3:12">
      <c r="C39" s="73"/>
      <c r="D39" s="74"/>
      <c r="E39" s="74"/>
      <c r="F39" s="74"/>
      <c r="G39" s="74"/>
      <c r="H39" s="74"/>
      <c r="I39" s="74"/>
      <c r="J39" s="74"/>
      <c r="K39" s="16"/>
      <c r="L39" s="78"/>
    </row>
    <row r="40" spans="3:12">
      <c r="C40" s="73" t="s">
        <v>198</v>
      </c>
      <c r="D40" s="74"/>
      <c r="E40" s="74"/>
      <c r="F40" s="74"/>
      <c r="G40" s="74"/>
      <c r="H40" s="74"/>
      <c r="I40" s="74"/>
      <c r="J40" s="74"/>
      <c r="K40" s="16"/>
      <c r="L40" s="78"/>
    </row>
    <row r="41" spans="3:12">
      <c r="C41" s="73"/>
      <c r="D41" s="74"/>
      <c r="E41" s="74"/>
      <c r="F41" s="74"/>
      <c r="G41" s="74"/>
      <c r="H41" s="74"/>
      <c r="I41" s="74"/>
      <c r="J41" s="74"/>
      <c r="K41" s="16"/>
      <c r="L41" s="78"/>
    </row>
    <row r="42" spans="3:12">
      <c r="C42" s="73"/>
      <c r="D42" s="74"/>
      <c r="E42" s="74"/>
      <c r="F42" s="74"/>
      <c r="G42" s="74"/>
      <c r="H42" s="74"/>
      <c r="I42" s="74"/>
      <c r="J42" s="74"/>
      <c r="K42" s="16"/>
      <c r="L42" s="78"/>
    </row>
    <row r="43" spans="3:12">
      <c r="C43" s="73"/>
      <c r="D43" s="74"/>
      <c r="E43" s="74"/>
      <c r="F43" s="74"/>
      <c r="G43" s="74"/>
      <c r="H43" s="74"/>
      <c r="I43" s="74"/>
      <c r="J43" s="74"/>
      <c r="K43" s="16"/>
      <c r="L43" s="78"/>
    </row>
    <row r="44" spans="3:12">
      <c r="C44" s="73"/>
      <c r="D44" s="74"/>
      <c r="E44" s="74"/>
      <c r="F44" s="74"/>
      <c r="G44" s="74"/>
      <c r="H44" s="74"/>
      <c r="I44" s="74"/>
      <c r="J44" s="74"/>
      <c r="K44" s="16"/>
      <c r="L44" s="78"/>
    </row>
    <row r="45" spans="3:12">
      <c r="C45" s="73"/>
      <c r="D45" s="74"/>
      <c r="E45" s="74"/>
      <c r="F45" s="74"/>
      <c r="G45" s="74"/>
      <c r="H45" s="74"/>
      <c r="I45" s="74"/>
      <c r="J45" s="74"/>
      <c r="K45" s="16"/>
      <c r="L45" s="78"/>
    </row>
    <row r="46" spans="3:12">
      <c r="C46" s="73"/>
      <c r="D46" s="74"/>
      <c r="E46" s="74"/>
      <c r="F46" s="74"/>
      <c r="G46" s="74"/>
      <c r="H46" s="74"/>
      <c r="I46" s="74"/>
      <c r="J46" s="74"/>
      <c r="K46" s="16"/>
      <c r="L46" s="78"/>
    </row>
    <row r="47" spans="3:12">
      <c r="C47" s="73"/>
      <c r="D47" s="74"/>
      <c r="E47" s="74"/>
      <c r="F47" s="74"/>
      <c r="G47" s="74"/>
      <c r="H47" s="74"/>
      <c r="I47" s="74"/>
      <c r="J47" s="74"/>
      <c r="K47" s="16"/>
      <c r="L47" s="78"/>
    </row>
    <row r="48" spans="3:12">
      <c r="C48" s="73"/>
      <c r="D48" s="74"/>
      <c r="E48" s="74"/>
      <c r="F48" s="74"/>
      <c r="G48" s="74"/>
      <c r="H48" s="74"/>
      <c r="I48" s="74"/>
      <c r="J48" s="74"/>
      <c r="K48" s="16"/>
      <c r="L48" s="78"/>
    </row>
    <row r="49" spans="3:15">
      <c r="C49" s="73"/>
      <c r="D49" s="74"/>
      <c r="E49" s="74"/>
      <c r="F49" s="74"/>
      <c r="G49" s="74"/>
      <c r="H49" s="74"/>
      <c r="I49" s="74"/>
      <c r="J49" s="74"/>
      <c r="K49" s="16"/>
      <c r="L49" s="78"/>
    </row>
    <row r="50" spans="3:15">
      <c r="C50" s="73"/>
      <c r="D50" s="74"/>
      <c r="E50" s="74"/>
      <c r="F50" s="74"/>
      <c r="G50" s="74"/>
      <c r="H50" s="74"/>
      <c r="I50" s="74"/>
      <c r="J50" s="74"/>
      <c r="K50" s="16"/>
      <c r="L50" s="78"/>
    </row>
    <row r="51" spans="3:15">
      <c r="C51" s="73"/>
      <c r="D51" s="74"/>
      <c r="E51" s="74"/>
      <c r="F51" s="74"/>
      <c r="G51" s="74"/>
      <c r="H51" s="74"/>
      <c r="I51" s="74"/>
      <c r="J51" s="74"/>
      <c r="K51" s="16"/>
      <c r="L51" s="78"/>
    </row>
    <row r="52" spans="3:15">
      <c r="C52" s="73"/>
      <c r="D52" s="74"/>
      <c r="E52" s="74"/>
      <c r="F52" s="74"/>
      <c r="G52" s="74"/>
      <c r="H52" s="74"/>
      <c r="I52" s="74"/>
      <c r="J52" s="74"/>
      <c r="K52" s="16"/>
      <c r="L52" s="78"/>
    </row>
    <row r="53" spans="3:15">
      <c r="C53" s="73"/>
      <c r="D53" s="74"/>
      <c r="E53" s="74"/>
      <c r="F53" s="74"/>
      <c r="G53" s="74"/>
      <c r="H53" s="74"/>
      <c r="I53" s="74"/>
      <c r="J53" s="74"/>
      <c r="K53" s="16"/>
      <c r="L53" s="78"/>
    </row>
    <row r="54" spans="3:15">
      <c r="C54" s="73"/>
      <c r="D54" s="74"/>
      <c r="E54" s="74"/>
      <c r="F54" s="74"/>
      <c r="G54" s="74"/>
      <c r="H54" s="74"/>
      <c r="I54" s="74"/>
      <c r="J54" s="74"/>
      <c r="K54" s="16"/>
      <c r="L54" s="78"/>
    </row>
    <row r="55" spans="3:15">
      <c r="C55" s="73"/>
      <c r="D55" s="74"/>
      <c r="E55" s="74"/>
      <c r="F55" s="74"/>
      <c r="G55" s="74"/>
      <c r="H55" s="74"/>
      <c r="I55" s="74"/>
      <c r="J55" s="74"/>
      <c r="K55" s="16"/>
      <c r="L55" s="78"/>
    </row>
    <row r="56" spans="3:15">
      <c r="C56" s="73"/>
      <c r="D56" s="74"/>
      <c r="E56" s="74"/>
      <c r="F56" s="74"/>
      <c r="G56" s="74"/>
      <c r="H56" s="74"/>
      <c r="I56" s="74"/>
      <c r="J56" s="74"/>
      <c r="K56" s="16"/>
      <c r="L56" s="78"/>
    </row>
    <row r="57" spans="3:15">
      <c r="C57" s="73"/>
      <c r="D57" s="74"/>
      <c r="E57" s="74"/>
      <c r="F57" s="74"/>
      <c r="G57" s="74"/>
      <c r="H57" s="74"/>
      <c r="I57" s="74"/>
      <c r="J57" s="74"/>
      <c r="K57" s="16"/>
      <c r="L57" s="78"/>
    </row>
    <row r="58" spans="3:15">
      <c r="C58" s="73"/>
      <c r="D58" s="74"/>
      <c r="E58" s="74"/>
      <c r="F58" s="74"/>
      <c r="G58" s="74"/>
      <c r="H58" s="74"/>
      <c r="I58" s="74"/>
      <c r="J58" s="74"/>
      <c r="K58" s="16"/>
      <c r="L58" s="78"/>
    </row>
    <row r="59" spans="3:15">
      <c r="C59" s="73"/>
      <c r="D59" s="74"/>
      <c r="E59" s="74"/>
      <c r="F59" s="74"/>
      <c r="G59" s="74"/>
      <c r="H59" s="74"/>
      <c r="I59" s="74"/>
      <c r="J59" s="74"/>
      <c r="K59" s="16"/>
      <c r="L59" s="78"/>
    </row>
    <row r="60" spans="3:15">
      <c r="C60" s="73" t="s">
        <v>200</v>
      </c>
      <c r="D60" s="74"/>
      <c r="E60" s="74"/>
      <c r="F60" s="74"/>
      <c r="G60" s="74"/>
      <c r="H60" s="74"/>
      <c r="I60" s="74"/>
      <c r="J60" s="74"/>
      <c r="K60" s="16"/>
      <c r="L60" s="78"/>
    </row>
    <row r="61" spans="3:15">
      <c r="C61" s="73"/>
      <c r="D61" s="74"/>
      <c r="E61" s="74"/>
      <c r="F61" s="74"/>
      <c r="G61" s="74"/>
      <c r="H61" s="74"/>
      <c r="I61" s="74"/>
      <c r="J61" s="74"/>
      <c r="K61" s="16"/>
      <c r="L61" s="78"/>
      <c r="O61" s="74"/>
    </row>
    <row r="62" spans="3:15">
      <c r="C62" s="73"/>
      <c r="D62" s="74"/>
      <c r="E62" s="74"/>
      <c r="F62" s="74"/>
      <c r="G62" s="74"/>
      <c r="H62" s="74"/>
      <c r="I62" s="74"/>
      <c r="J62" s="74"/>
      <c r="K62" s="16"/>
      <c r="L62" s="78"/>
    </row>
    <row r="63" spans="3:15">
      <c r="C63" s="73"/>
      <c r="D63" s="74"/>
      <c r="E63" s="74"/>
      <c r="F63" s="74"/>
      <c r="G63" s="74"/>
      <c r="H63" s="74"/>
      <c r="I63" s="74"/>
      <c r="J63" s="74"/>
      <c r="K63" s="16"/>
      <c r="L63" s="78"/>
    </row>
    <row r="64" spans="3:15">
      <c r="D64" s="74"/>
      <c r="E64" s="74"/>
      <c r="F64" s="74"/>
      <c r="G64" s="74"/>
      <c r="H64" s="74"/>
      <c r="I64" s="74"/>
      <c r="J64" s="74"/>
      <c r="K64" s="16"/>
      <c r="L64" s="78"/>
    </row>
    <row r="65" spans="3:12">
      <c r="C65" s="73"/>
      <c r="D65" s="74"/>
      <c r="E65" s="74"/>
      <c r="F65" s="74"/>
      <c r="G65" s="74"/>
      <c r="H65" s="74"/>
      <c r="I65" s="74"/>
      <c r="J65" s="74"/>
      <c r="K65" s="16"/>
      <c r="L65" s="78"/>
    </row>
    <row r="66" spans="3:12">
      <c r="C66" s="73"/>
      <c r="D66" s="74"/>
      <c r="E66" s="74"/>
      <c r="F66" s="74"/>
      <c r="G66" s="74"/>
      <c r="H66" s="74"/>
      <c r="I66" s="74"/>
      <c r="J66" s="74"/>
      <c r="K66" s="16"/>
      <c r="L66" s="78"/>
    </row>
    <row r="67" spans="3:12">
      <c r="C67" s="73"/>
      <c r="D67" s="74"/>
      <c r="E67" s="74"/>
      <c r="F67" s="74"/>
      <c r="G67" s="74"/>
      <c r="H67" s="74"/>
      <c r="I67" s="74"/>
      <c r="J67" s="74"/>
      <c r="K67" s="16"/>
      <c r="L67" s="78"/>
    </row>
    <row r="68" spans="3:12">
      <c r="C68" s="73"/>
      <c r="D68" s="74"/>
      <c r="E68" s="74"/>
      <c r="F68" s="74"/>
      <c r="G68" s="74"/>
      <c r="H68" s="74"/>
      <c r="I68" s="74"/>
      <c r="J68" s="74"/>
      <c r="K68" s="16"/>
      <c r="L68" s="78"/>
    </row>
    <row r="69" spans="3:12">
      <c r="C69" s="73"/>
      <c r="D69" s="74"/>
      <c r="E69" s="74"/>
      <c r="F69" s="74"/>
      <c r="G69" s="74"/>
      <c r="H69" s="74"/>
      <c r="I69" s="74"/>
      <c r="J69" s="74"/>
      <c r="K69" s="16"/>
      <c r="L69" s="78"/>
    </row>
    <row r="70" spans="3:12">
      <c r="C70" s="73"/>
      <c r="D70" s="74"/>
      <c r="E70" s="74"/>
      <c r="F70" s="74"/>
      <c r="G70" s="74"/>
      <c r="H70" s="74"/>
      <c r="I70" s="74"/>
      <c r="J70" s="74"/>
      <c r="K70" s="16"/>
      <c r="L70" s="78"/>
    </row>
    <row r="71" spans="3:12">
      <c r="C71" s="73"/>
      <c r="D71" s="74"/>
      <c r="E71" s="74"/>
      <c r="F71" s="74"/>
      <c r="G71" s="74"/>
      <c r="H71" s="74"/>
      <c r="I71" s="74"/>
      <c r="J71" s="74"/>
      <c r="K71" s="16"/>
      <c r="L71" s="78"/>
    </row>
    <row r="72" spans="3:12">
      <c r="C72" s="73"/>
      <c r="D72" s="74"/>
      <c r="E72" s="74"/>
      <c r="F72" s="74"/>
      <c r="G72" s="74"/>
      <c r="H72" s="74"/>
      <c r="I72" s="74"/>
      <c r="J72" s="74"/>
      <c r="K72" s="16"/>
      <c r="L72" s="78"/>
    </row>
    <row r="73" spans="3:12">
      <c r="C73" s="73"/>
      <c r="D73" s="74"/>
      <c r="E73" s="74"/>
      <c r="F73" s="74"/>
      <c r="G73" s="74"/>
      <c r="H73" s="74"/>
      <c r="I73" s="74"/>
      <c r="J73" s="74"/>
      <c r="K73" s="16"/>
      <c r="L73" s="78"/>
    </row>
    <row r="74" spans="3:12">
      <c r="C74" s="73"/>
      <c r="D74" s="74"/>
      <c r="E74" s="74"/>
      <c r="F74" s="74"/>
      <c r="G74" s="74"/>
      <c r="H74" s="74"/>
      <c r="I74" s="74"/>
      <c r="J74" s="74"/>
      <c r="K74" s="16"/>
      <c r="L74" s="78"/>
    </row>
    <row r="75" spans="3:12">
      <c r="C75" s="73"/>
      <c r="D75" s="74"/>
      <c r="E75" s="74"/>
      <c r="F75" s="74"/>
      <c r="G75" s="74"/>
      <c r="H75" s="74"/>
      <c r="I75" s="74"/>
      <c r="J75" s="74"/>
      <c r="K75" s="16"/>
      <c r="L75" s="78"/>
    </row>
    <row r="76" spans="3:12">
      <c r="C76" s="73"/>
      <c r="D76" s="74"/>
      <c r="E76" s="74"/>
      <c r="F76" s="74"/>
      <c r="G76" s="74"/>
      <c r="H76" s="74"/>
      <c r="I76" s="74"/>
      <c r="J76" s="74"/>
      <c r="K76" s="16"/>
      <c r="L76" s="78"/>
    </row>
    <row r="77" spans="3:12">
      <c r="C77" s="73"/>
      <c r="D77" s="74"/>
      <c r="E77" s="74"/>
      <c r="F77" s="74"/>
      <c r="G77" s="74"/>
      <c r="H77" s="74"/>
      <c r="I77" s="74"/>
      <c r="J77" s="74"/>
      <c r="K77" s="16"/>
      <c r="L77" s="78"/>
    </row>
    <row r="78" spans="3:12">
      <c r="C78" s="73"/>
      <c r="D78" s="74"/>
      <c r="E78" s="74"/>
      <c r="F78" s="74"/>
      <c r="G78" s="74"/>
      <c r="H78" s="74"/>
      <c r="I78" s="74"/>
      <c r="J78" s="74"/>
      <c r="K78" s="16"/>
      <c r="L78" s="78"/>
    </row>
    <row r="79" spans="3:12">
      <c r="C79" s="73"/>
      <c r="D79" s="74"/>
      <c r="E79" s="74"/>
      <c r="F79" s="74"/>
      <c r="G79" s="74"/>
      <c r="H79" s="74"/>
      <c r="I79" s="74"/>
      <c r="J79" s="74"/>
      <c r="K79" s="16"/>
      <c r="L79" s="78"/>
    </row>
    <row r="80" spans="3:12">
      <c r="C80" s="73"/>
      <c r="D80" s="74"/>
      <c r="E80" s="74"/>
      <c r="F80" s="74"/>
      <c r="G80" s="74"/>
      <c r="H80" s="74"/>
      <c r="I80" s="74"/>
      <c r="J80" s="74"/>
      <c r="K80" s="16"/>
      <c r="L80" s="78"/>
    </row>
    <row r="81" spans="3:12">
      <c r="C81" s="73"/>
      <c r="D81" s="74"/>
      <c r="E81" s="74"/>
      <c r="F81" s="74"/>
      <c r="G81" s="74"/>
      <c r="H81" s="74"/>
      <c r="I81" s="74"/>
      <c r="J81" s="74"/>
      <c r="K81" s="16"/>
      <c r="L81" s="78"/>
    </row>
    <row r="82" spans="3:12">
      <c r="C82" s="73"/>
      <c r="D82" s="74"/>
      <c r="E82" s="74"/>
      <c r="F82" s="74"/>
      <c r="G82" s="74"/>
      <c r="H82" s="74"/>
      <c r="I82" s="74"/>
      <c r="J82" s="74"/>
      <c r="K82" s="16"/>
      <c r="L82" s="78"/>
    </row>
    <row r="83" spans="3:12">
      <c r="C83" s="73"/>
      <c r="D83" s="74"/>
      <c r="E83" s="74"/>
      <c r="F83" s="74"/>
      <c r="G83" s="74"/>
      <c r="H83" s="74"/>
      <c r="I83" s="74"/>
      <c r="J83" s="74"/>
      <c r="K83" s="16"/>
      <c r="L83" s="78"/>
    </row>
    <row r="84" spans="3:12">
      <c r="C84" s="73"/>
      <c r="D84" s="74"/>
      <c r="E84" s="74"/>
      <c r="F84" s="74"/>
      <c r="G84" s="74"/>
      <c r="H84" s="74"/>
      <c r="I84" s="74"/>
      <c r="J84" s="74"/>
      <c r="K84" s="16"/>
      <c r="L84" s="78"/>
    </row>
    <row r="85" spans="3:12">
      <c r="C85" s="73"/>
      <c r="D85" s="74"/>
      <c r="E85" s="74"/>
      <c r="F85" s="74"/>
      <c r="G85" s="74"/>
      <c r="H85" s="74"/>
      <c r="I85" s="74"/>
      <c r="J85" s="74"/>
      <c r="K85" s="16"/>
      <c r="L85" s="78"/>
    </row>
    <row r="86" spans="3:12">
      <c r="C86" s="73"/>
      <c r="D86" s="74"/>
      <c r="E86" s="74"/>
      <c r="F86" s="74"/>
      <c r="G86" s="74"/>
      <c r="H86" s="74"/>
      <c r="I86" s="74"/>
      <c r="J86" s="74"/>
      <c r="K86" s="16"/>
      <c r="L86" s="78"/>
    </row>
    <row r="87" spans="3:12">
      <c r="C87" s="73" t="s">
        <v>201</v>
      </c>
      <c r="D87" s="74"/>
      <c r="E87" s="74"/>
      <c r="F87" s="74"/>
      <c r="G87" s="74"/>
      <c r="H87" s="74"/>
      <c r="I87" s="74"/>
      <c r="J87" s="74"/>
      <c r="K87" s="16"/>
      <c r="L87" s="78"/>
    </row>
    <row r="88" spans="3:12">
      <c r="C88" s="73"/>
      <c r="D88" s="74"/>
      <c r="E88" s="74"/>
      <c r="F88" s="74"/>
      <c r="G88" s="74"/>
      <c r="H88" s="74"/>
      <c r="I88" s="74"/>
      <c r="J88" s="74"/>
      <c r="K88" s="16"/>
      <c r="L88" s="78"/>
    </row>
    <row r="89" spans="3:12">
      <c r="D89" s="74"/>
      <c r="E89" s="74"/>
      <c r="F89" s="74"/>
      <c r="G89" s="74"/>
      <c r="H89" s="74"/>
      <c r="I89" s="74"/>
      <c r="J89" s="74"/>
      <c r="K89" s="16"/>
      <c r="L89" s="78"/>
    </row>
    <row r="90" spans="3:12">
      <c r="C90" s="73"/>
      <c r="D90" s="74"/>
      <c r="E90" s="74"/>
      <c r="F90" s="74"/>
      <c r="G90" s="74"/>
      <c r="H90" s="74"/>
      <c r="I90" s="74"/>
      <c r="J90" s="74"/>
      <c r="K90" s="16"/>
      <c r="L90" s="78"/>
    </row>
    <row r="91" spans="3:12">
      <c r="C91" s="73"/>
      <c r="D91" s="74"/>
      <c r="E91" s="74"/>
      <c r="F91" s="74"/>
      <c r="G91" s="74"/>
      <c r="H91" s="74"/>
      <c r="I91" s="74"/>
      <c r="J91" s="74"/>
      <c r="K91" s="16"/>
      <c r="L91" s="78"/>
    </row>
    <row r="92" spans="3:12">
      <c r="C92" s="73"/>
      <c r="D92" s="74"/>
      <c r="E92" s="74"/>
      <c r="F92" s="74"/>
      <c r="G92" s="74"/>
      <c r="H92" s="74"/>
      <c r="I92" s="74"/>
      <c r="J92" s="74"/>
      <c r="K92" s="16"/>
      <c r="L92" s="78"/>
    </row>
    <row r="93" spans="3:12">
      <c r="C93" s="73"/>
      <c r="D93" s="74"/>
      <c r="E93" s="74"/>
      <c r="F93" s="74"/>
      <c r="G93" s="74"/>
      <c r="H93" s="74"/>
      <c r="I93" s="74"/>
      <c r="J93" s="74"/>
      <c r="K93" s="16"/>
      <c r="L93" s="78"/>
    </row>
    <row r="94" spans="3:12">
      <c r="C94" s="73"/>
      <c r="D94" s="74"/>
      <c r="E94" s="74"/>
      <c r="F94" s="74"/>
      <c r="G94" s="74"/>
      <c r="H94" s="74"/>
      <c r="I94" s="74"/>
      <c r="J94" s="74"/>
      <c r="K94" s="16"/>
      <c r="L94" s="78"/>
    </row>
    <row r="95" spans="3:12">
      <c r="C95" s="73"/>
      <c r="D95" s="74"/>
      <c r="E95" s="74"/>
      <c r="F95" s="74"/>
      <c r="G95" s="74"/>
      <c r="H95" s="74"/>
      <c r="I95" s="74"/>
      <c r="J95" s="74"/>
      <c r="K95" s="16"/>
      <c r="L95" s="78"/>
    </row>
    <row r="96" spans="3:12">
      <c r="C96" s="73"/>
      <c r="D96" s="74"/>
      <c r="E96" s="74"/>
      <c r="F96" s="74"/>
      <c r="G96" s="74"/>
      <c r="H96" s="74"/>
      <c r="I96" s="74"/>
      <c r="J96" s="74"/>
      <c r="K96" s="16"/>
      <c r="L96" s="78"/>
    </row>
    <row r="97" spans="3:12">
      <c r="C97" s="73"/>
      <c r="D97" s="74"/>
      <c r="E97" s="74"/>
      <c r="F97" s="74"/>
      <c r="G97" s="74"/>
      <c r="H97" s="74"/>
      <c r="I97" s="74"/>
      <c r="J97" s="74"/>
      <c r="K97" s="16"/>
      <c r="L97" s="78"/>
    </row>
    <row r="98" spans="3:12">
      <c r="C98" s="73"/>
      <c r="D98" s="74"/>
      <c r="E98" s="74"/>
      <c r="F98" s="74"/>
      <c r="G98" s="74"/>
      <c r="H98" s="74"/>
      <c r="I98" s="74"/>
      <c r="J98" s="74"/>
      <c r="K98" s="16"/>
      <c r="L98" s="78"/>
    </row>
    <row r="99" spans="3:12">
      <c r="C99" s="73"/>
      <c r="D99" s="74"/>
      <c r="E99" s="74"/>
      <c r="F99" s="74"/>
      <c r="G99" s="74"/>
      <c r="H99" s="74"/>
      <c r="I99" s="74"/>
      <c r="J99" s="74"/>
      <c r="K99" s="16"/>
      <c r="L99" s="78"/>
    </row>
    <row r="100" spans="3:12">
      <c r="C100" s="73"/>
      <c r="D100" s="74"/>
      <c r="E100" s="74"/>
      <c r="F100" s="74"/>
      <c r="G100" s="74"/>
      <c r="H100" s="74"/>
      <c r="I100" s="74"/>
      <c r="J100" s="74"/>
      <c r="K100" s="16"/>
      <c r="L100" s="78"/>
    </row>
    <row r="101" spans="3:12">
      <c r="C101" s="73"/>
      <c r="D101" s="74"/>
      <c r="E101" s="74"/>
      <c r="F101" s="74"/>
      <c r="G101" s="74"/>
      <c r="H101" s="74"/>
      <c r="I101" s="74"/>
      <c r="J101" s="74"/>
      <c r="K101" s="16"/>
      <c r="L101" s="78"/>
    </row>
    <row r="102" spans="3:12">
      <c r="C102" s="73"/>
      <c r="D102" s="74"/>
      <c r="E102" s="74"/>
      <c r="F102" s="74"/>
      <c r="G102" s="74"/>
      <c r="H102" s="74"/>
      <c r="I102" s="74"/>
      <c r="J102" s="74"/>
      <c r="K102" s="16"/>
      <c r="L102" s="78"/>
    </row>
    <row r="103" spans="3:12">
      <c r="C103" s="73"/>
      <c r="D103" s="74"/>
      <c r="E103" s="74"/>
      <c r="F103" s="74"/>
      <c r="G103" s="74"/>
      <c r="H103" s="74"/>
      <c r="I103" s="74"/>
      <c r="J103" s="74"/>
      <c r="K103" s="16"/>
      <c r="L103" s="78"/>
    </row>
    <row r="104" spans="3:12">
      <c r="C104" s="73"/>
      <c r="D104" s="74"/>
      <c r="E104" s="74"/>
      <c r="F104" s="74"/>
      <c r="G104" s="74"/>
      <c r="H104" s="74"/>
      <c r="I104" s="74"/>
      <c r="J104" s="74"/>
      <c r="K104" s="16"/>
      <c r="L104" s="78"/>
    </row>
    <row r="105" spans="3:12">
      <c r="C105" s="73"/>
      <c r="D105" s="74"/>
      <c r="E105" s="74"/>
      <c r="F105" s="74"/>
      <c r="G105" s="74"/>
      <c r="H105" s="74"/>
      <c r="I105" s="74"/>
      <c r="J105" s="74"/>
      <c r="K105" s="16"/>
      <c r="L105" s="78"/>
    </row>
    <row r="106" spans="3:12">
      <c r="C106" s="73"/>
      <c r="D106" s="74"/>
      <c r="E106" s="74"/>
      <c r="F106" s="74"/>
      <c r="G106" s="74"/>
      <c r="H106" s="74"/>
      <c r="I106" s="74"/>
      <c r="J106" s="74"/>
      <c r="K106" s="16"/>
      <c r="L106" s="78"/>
    </row>
    <row r="107" spans="3:12">
      <c r="C107" s="73"/>
      <c r="D107" s="74"/>
      <c r="E107" s="74"/>
      <c r="F107" s="74"/>
      <c r="G107" s="74"/>
      <c r="H107" s="74"/>
      <c r="I107" s="74"/>
      <c r="J107" s="74"/>
      <c r="K107" s="16"/>
      <c r="L107" s="78"/>
    </row>
    <row r="108" spans="3:12">
      <c r="C108" s="73"/>
      <c r="D108" s="74"/>
      <c r="E108" s="74"/>
      <c r="F108" s="74"/>
      <c r="G108" s="74"/>
      <c r="H108" s="74"/>
      <c r="I108" s="74"/>
      <c r="J108" s="74"/>
      <c r="K108" s="16"/>
      <c r="L108" s="78"/>
    </row>
    <row r="109" spans="3:12">
      <c r="C109" s="73"/>
      <c r="D109" s="74"/>
      <c r="E109" s="74"/>
      <c r="F109" s="74"/>
      <c r="G109" s="74"/>
      <c r="H109" s="74"/>
      <c r="I109" s="74"/>
      <c r="J109" s="74"/>
      <c r="K109" s="16"/>
      <c r="L109" s="78"/>
    </row>
    <row r="110" spans="3:12">
      <c r="C110" s="73" t="s">
        <v>202</v>
      </c>
      <c r="D110" s="74"/>
      <c r="E110" s="74"/>
      <c r="F110" s="74"/>
      <c r="G110" s="74"/>
      <c r="H110" s="74"/>
      <c r="I110" s="74"/>
      <c r="J110" s="74"/>
      <c r="K110" s="16"/>
      <c r="L110" s="78"/>
    </row>
    <row r="111" spans="3:12">
      <c r="C111" s="73"/>
      <c r="D111" s="74"/>
      <c r="E111" s="74"/>
      <c r="F111" s="74"/>
      <c r="G111" s="74"/>
      <c r="H111" s="74"/>
      <c r="I111" s="74"/>
      <c r="J111" s="74"/>
      <c r="K111" s="16"/>
      <c r="L111" s="78"/>
    </row>
    <row r="112" spans="3:12">
      <c r="D112" s="74"/>
      <c r="E112" s="74"/>
      <c r="F112" s="74"/>
      <c r="G112" s="74"/>
      <c r="H112" s="74"/>
      <c r="I112" s="74"/>
      <c r="J112" s="74"/>
      <c r="K112" s="16"/>
      <c r="L112" s="78"/>
    </row>
    <row r="113" spans="3:12">
      <c r="C113" s="73"/>
      <c r="D113" s="74"/>
      <c r="E113" s="74"/>
      <c r="F113" s="74"/>
      <c r="G113" s="74"/>
      <c r="H113" s="74"/>
      <c r="I113" s="74"/>
      <c r="J113" s="74"/>
      <c r="K113" s="16"/>
      <c r="L113" s="78"/>
    </row>
    <row r="114" spans="3:12">
      <c r="C114" s="73"/>
      <c r="D114" s="74"/>
      <c r="E114" s="74"/>
      <c r="F114" s="74"/>
      <c r="G114" s="74"/>
      <c r="H114" s="74"/>
      <c r="I114" s="74"/>
      <c r="J114" s="74"/>
      <c r="K114" s="16"/>
      <c r="L114" s="78"/>
    </row>
    <row r="115" spans="3:12">
      <c r="C115" s="73"/>
      <c r="D115" s="74"/>
      <c r="E115" s="74"/>
      <c r="F115" s="74"/>
      <c r="G115" s="74"/>
      <c r="H115" s="74"/>
      <c r="I115" s="74"/>
      <c r="J115" s="74"/>
      <c r="K115" s="16"/>
      <c r="L115" s="78"/>
    </row>
    <row r="116" spans="3:12">
      <c r="C116" s="73"/>
      <c r="D116" s="74"/>
      <c r="E116" s="74"/>
      <c r="F116" s="74"/>
      <c r="G116" s="74"/>
      <c r="H116" s="74"/>
      <c r="I116" s="74"/>
      <c r="J116" s="74"/>
      <c r="K116" s="16"/>
      <c r="L116" s="78"/>
    </row>
    <row r="117" spans="3:12">
      <c r="C117" s="73"/>
      <c r="D117" s="74"/>
      <c r="E117" s="74"/>
      <c r="F117" s="74"/>
      <c r="G117" s="74"/>
      <c r="H117" s="74"/>
      <c r="I117" s="74"/>
      <c r="J117" s="74"/>
      <c r="K117" s="16"/>
      <c r="L117" s="78"/>
    </row>
    <row r="118" spans="3:12">
      <c r="C118" s="73"/>
      <c r="D118" s="74"/>
      <c r="E118" s="74"/>
      <c r="F118" s="74"/>
      <c r="G118" s="74"/>
      <c r="H118" s="74"/>
      <c r="I118" s="74"/>
      <c r="J118" s="74"/>
      <c r="K118" s="16"/>
      <c r="L118" s="78"/>
    </row>
    <row r="119" spans="3:12">
      <c r="C119" s="73"/>
      <c r="D119" s="74"/>
      <c r="E119" s="74"/>
      <c r="F119" s="74"/>
      <c r="G119" s="74"/>
      <c r="H119" s="74"/>
      <c r="I119" s="74"/>
      <c r="J119" s="74"/>
      <c r="K119" s="16"/>
      <c r="L119" s="78"/>
    </row>
    <row r="120" spans="3:12">
      <c r="C120" s="73"/>
      <c r="D120" s="74"/>
      <c r="E120" s="74"/>
      <c r="F120" s="74"/>
      <c r="G120" s="74"/>
      <c r="H120" s="74"/>
      <c r="I120" s="74"/>
      <c r="J120" s="74"/>
      <c r="K120" s="16"/>
      <c r="L120" s="78"/>
    </row>
    <row r="121" spans="3:12">
      <c r="C121" s="73"/>
      <c r="D121" s="74"/>
      <c r="E121" s="74"/>
      <c r="F121" s="74"/>
      <c r="G121" s="74"/>
      <c r="H121" s="74"/>
      <c r="I121" s="74"/>
      <c r="J121" s="74"/>
      <c r="K121" s="16"/>
      <c r="L121" s="78"/>
    </row>
    <row r="122" spans="3:12">
      <c r="C122" s="73"/>
      <c r="D122" s="74"/>
      <c r="E122" s="74"/>
      <c r="F122" s="74"/>
      <c r="G122" s="74"/>
      <c r="H122" s="74"/>
      <c r="I122" s="74"/>
      <c r="J122" s="74"/>
      <c r="K122" s="16"/>
      <c r="L122" s="78"/>
    </row>
    <row r="123" spans="3:12">
      <c r="C123" s="73"/>
      <c r="D123" s="74"/>
      <c r="E123" s="74"/>
      <c r="F123" s="74"/>
      <c r="G123" s="74"/>
      <c r="H123" s="74"/>
      <c r="I123" s="74"/>
      <c r="J123" s="74"/>
      <c r="K123" s="16"/>
      <c r="L123" s="78"/>
    </row>
    <row r="124" spans="3:12">
      <c r="C124" s="73"/>
      <c r="D124" s="74"/>
      <c r="E124" s="74"/>
      <c r="F124" s="74"/>
      <c r="G124" s="74"/>
      <c r="H124" s="74"/>
      <c r="I124" s="74"/>
      <c r="J124" s="74"/>
      <c r="K124" s="16"/>
      <c r="L124" s="78"/>
    </row>
    <row r="125" spans="3:12">
      <c r="C125" s="73"/>
      <c r="D125" s="74"/>
      <c r="E125" s="74"/>
      <c r="F125" s="74"/>
      <c r="G125" s="74"/>
      <c r="H125" s="74"/>
      <c r="I125" s="74"/>
      <c r="J125" s="74"/>
      <c r="K125" s="16"/>
      <c r="L125" s="78"/>
    </row>
    <row r="126" spans="3:12">
      <c r="C126" s="73"/>
      <c r="D126" s="74"/>
      <c r="E126" s="74"/>
      <c r="F126" s="74"/>
      <c r="G126" s="74"/>
      <c r="H126" s="74"/>
      <c r="I126" s="74"/>
      <c r="J126" s="74"/>
      <c r="K126" s="16"/>
      <c r="L126" s="78"/>
    </row>
    <row r="127" spans="3:12">
      <c r="C127" s="73"/>
      <c r="D127" s="74"/>
      <c r="E127" s="74"/>
      <c r="F127" s="74"/>
      <c r="G127" s="74"/>
      <c r="H127" s="74"/>
      <c r="I127" s="74"/>
      <c r="J127" s="74"/>
      <c r="K127" s="16"/>
      <c r="L127" s="78"/>
    </row>
    <row r="128" spans="3:12">
      <c r="C128" s="73"/>
      <c r="D128" s="74"/>
      <c r="E128" s="74"/>
      <c r="F128" s="74"/>
      <c r="G128" s="74"/>
      <c r="H128" s="74"/>
      <c r="I128" s="74"/>
      <c r="J128" s="74"/>
      <c r="K128" s="16"/>
      <c r="L128" s="78"/>
    </row>
    <row r="129" spans="3:12">
      <c r="C129" s="73"/>
      <c r="D129" s="74"/>
      <c r="E129" s="74"/>
      <c r="F129" s="74"/>
      <c r="G129" s="74"/>
      <c r="H129" s="74"/>
      <c r="I129" s="74"/>
      <c r="J129" s="74"/>
      <c r="K129" s="16"/>
      <c r="L129" s="78"/>
    </row>
    <row r="130" spans="3:12">
      <c r="C130" s="73"/>
      <c r="D130" s="74"/>
      <c r="E130" s="74"/>
      <c r="F130" s="74"/>
      <c r="G130" s="74"/>
      <c r="H130" s="74"/>
      <c r="I130" s="74"/>
      <c r="J130" s="74"/>
      <c r="K130" s="16"/>
      <c r="L130" s="78"/>
    </row>
    <row r="131" spans="3:12">
      <c r="C131" s="73"/>
      <c r="D131" s="74"/>
      <c r="E131" s="74"/>
      <c r="F131" s="74"/>
      <c r="G131" s="74"/>
      <c r="H131" s="74"/>
      <c r="I131" s="74"/>
      <c r="J131" s="74"/>
      <c r="K131" s="16"/>
      <c r="L131" s="78"/>
    </row>
    <row r="132" spans="3:12">
      <c r="C132" s="73" t="s">
        <v>203</v>
      </c>
      <c r="D132" s="74"/>
      <c r="E132" s="74"/>
      <c r="F132" s="74"/>
      <c r="G132" s="74"/>
      <c r="H132" s="74"/>
      <c r="I132" s="74"/>
      <c r="J132" s="74"/>
      <c r="K132" s="16"/>
      <c r="L132" s="78"/>
    </row>
    <row r="133" spans="3:12">
      <c r="C133" s="73"/>
      <c r="D133" s="74"/>
      <c r="E133" s="74"/>
      <c r="F133" s="74"/>
      <c r="G133" s="74"/>
      <c r="H133" s="74"/>
      <c r="I133" s="74"/>
      <c r="J133" s="74"/>
      <c r="K133" s="16"/>
      <c r="L133" s="78"/>
    </row>
    <row r="134" spans="3:12">
      <c r="D134" s="74"/>
      <c r="E134" s="74"/>
      <c r="F134" s="74"/>
      <c r="G134" s="74"/>
      <c r="H134" s="74"/>
      <c r="I134" s="74"/>
      <c r="J134" s="74"/>
      <c r="K134" s="16"/>
      <c r="L134" s="78"/>
    </row>
    <row r="135" spans="3:12">
      <c r="C135" s="73"/>
      <c r="D135" s="74"/>
      <c r="E135" s="74"/>
      <c r="F135" s="74"/>
      <c r="G135" s="74"/>
      <c r="H135" s="74"/>
      <c r="I135" s="74"/>
      <c r="J135" s="74"/>
      <c r="K135" s="16"/>
      <c r="L135" s="78"/>
    </row>
    <row r="136" spans="3:12">
      <c r="C136" s="73"/>
      <c r="D136" s="74"/>
      <c r="E136" s="74"/>
      <c r="F136" s="74"/>
      <c r="G136" s="74"/>
      <c r="H136" s="74"/>
      <c r="I136" s="74"/>
      <c r="J136" s="74"/>
      <c r="K136" s="16"/>
      <c r="L136" s="78"/>
    </row>
    <row r="137" spans="3:12">
      <c r="C137" s="73"/>
      <c r="D137" s="74"/>
      <c r="E137" s="74"/>
      <c r="F137" s="74"/>
      <c r="G137" s="74"/>
      <c r="H137" s="74"/>
      <c r="I137" s="74"/>
      <c r="J137" s="74"/>
      <c r="K137" s="16"/>
      <c r="L137" s="78"/>
    </row>
    <row r="138" spans="3:12">
      <c r="C138" s="73"/>
      <c r="D138" s="74"/>
      <c r="E138" s="74"/>
      <c r="F138" s="74"/>
      <c r="G138" s="74"/>
      <c r="H138" s="74"/>
      <c r="I138" s="74"/>
      <c r="J138" s="74"/>
      <c r="K138" s="16"/>
      <c r="L138" s="78"/>
    </row>
    <row r="139" spans="3:12">
      <c r="C139" s="73"/>
      <c r="D139" s="74"/>
      <c r="E139" s="74"/>
      <c r="F139" s="74"/>
      <c r="G139" s="74"/>
      <c r="H139" s="74"/>
      <c r="I139" s="74"/>
      <c r="J139" s="74"/>
      <c r="K139" s="16"/>
      <c r="L139" s="78"/>
    </row>
    <row r="140" spans="3:12">
      <c r="C140" s="73"/>
      <c r="D140" s="74"/>
      <c r="E140" s="74"/>
      <c r="F140" s="74"/>
      <c r="G140" s="74"/>
      <c r="H140" s="74"/>
      <c r="I140" s="74"/>
      <c r="J140" s="74"/>
      <c r="K140" s="16"/>
      <c r="L140" s="78"/>
    </row>
    <row r="141" spans="3:12">
      <c r="C141" s="73"/>
      <c r="D141" s="74"/>
      <c r="E141" s="74"/>
      <c r="F141" s="74"/>
      <c r="G141" s="74"/>
      <c r="H141" s="74"/>
      <c r="I141" s="74"/>
      <c r="J141" s="74"/>
      <c r="K141" s="16"/>
      <c r="L141" s="78"/>
    </row>
    <row r="142" spans="3:12">
      <c r="C142" s="73"/>
      <c r="D142" s="74"/>
      <c r="E142" s="74"/>
      <c r="F142" s="74"/>
      <c r="G142" s="74"/>
      <c r="H142" s="74"/>
      <c r="I142" s="74"/>
      <c r="J142" s="74"/>
      <c r="K142" s="16"/>
      <c r="L142" s="78"/>
    </row>
    <row r="143" spans="3:12">
      <c r="C143" s="73"/>
      <c r="D143" s="74"/>
      <c r="E143" s="74"/>
      <c r="F143" s="74"/>
      <c r="G143" s="74"/>
      <c r="H143" s="74"/>
      <c r="I143" s="74"/>
      <c r="J143" s="74"/>
      <c r="K143" s="16"/>
      <c r="L143" s="78"/>
    </row>
    <row r="144" spans="3:12">
      <c r="C144" s="73"/>
      <c r="D144" s="74"/>
      <c r="E144" s="74"/>
      <c r="F144" s="74"/>
      <c r="G144" s="74"/>
      <c r="H144" s="74"/>
      <c r="I144" s="74"/>
      <c r="J144" s="74"/>
      <c r="K144" s="16"/>
      <c r="L144" s="78"/>
    </row>
    <row r="145" spans="3:12">
      <c r="C145" s="73"/>
      <c r="D145" s="74"/>
      <c r="E145" s="74"/>
      <c r="F145" s="74"/>
      <c r="G145" s="74"/>
      <c r="H145" s="74"/>
      <c r="I145" s="74"/>
      <c r="J145" s="74"/>
      <c r="K145" s="16"/>
      <c r="L145" s="78"/>
    </row>
    <row r="146" spans="3:12">
      <c r="C146" s="73"/>
      <c r="D146" s="74"/>
      <c r="E146" s="74"/>
      <c r="F146" s="74"/>
      <c r="G146" s="74"/>
      <c r="H146" s="74"/>
      <c r="I146" s="74"/>
      <c r="J146" s="74"/>
      <c r="K146" s="16"/>
      <c r="L146" s="78"/>
    </row>
    <row r="147" spans="3:12">
      <c r="C147" s="73"/>
      <c r="D147" s="74"/>
      <c r="E147" s="74"/>
      <c r="F147" s="74"/>
      <c r="G147" s="74"/>
      <c r="H147" s="74"/>
      <c r="I147" s="74"/>
      <c r="J147" s="74"/>
      <c r="K147" s="16"/>
      <c r="L147" s="78"/>
    </row>
    <row r="148" spans="3:12">
      <c r="C148" s="73"/>
      <c r="D148" s="74"/>
      <c r="E148" s="74"/>
      <c r="F148" s="74"/>
      <c r="G148" s="74"/>
      <c r="H148" s="74"/>
      <c r="I148" s="74"/>
      <c r="J148" s="74"/>
      <c r="K148" s="16"/>
      <c r="L148" s="78"/>
    </row>
    <row r="149" spans="3:12">
      <c r="C149" s="73"/>
      <c r="D149" s="74"/>
      <c r="E149" s="74"/>
      <c r="F149" s="74"/>
      <c r="G149" s="74"/>
      <c r="H149" s="74"/>
      <c r="I149" s="74"/>
      <c r="J149" s="74"/>
      <c r="K149" s="16"/>
      <c r="L149" s="78"/>
    </row>
    <row r="150" spans="3:12">
      <c r="C150" s="73"/>
      <c r="D150" s="74"/>
      <c r="E150" s="74"/>
      <c r="F150" s="74"/>
      <c r="G150" s="74"/>
      <c r="H150" s="74"/>
      <c r="I150" s="74"/>
      <c r="J150" s="74"/>
      <c r="K150" s="16"/>
      <c r="L150" s="78"/>
    </row>
    <row r="151" spans="3:12">
      <c r="C151" s="73"/>
      <c r="D151" s="74"/>
      <c r="E151" s="74"/>
      <c r="F151" s="74"/>
      <c r="G151" s="74"/>
      <c r="H151" s="74"/>
      <c r="I151" s="74"/>
      <c r="J151" s="74"/>
      <c r="K151" s="16"/>
      <c r="L151" s="78"/>
    </row>
    <row r="152" spans="3:12">
      <c r="C152" s="73"/>
      <c r="D152" s="74"/>
      <c r="E152" s="74"/>
      <c r="F152" s="74"/>
      <c r="G152" s="74"/>
      <c r="H152" s="74"/>
      <c r="I152" s="74"/>
      <c r="J152" s="74"/>
      <c r="K152" s="16"/>
      <c r="L152" s="78"/>
    </row>
    <row r="153" spans="3:12">
      <c r="C153" s="73"/>
      <c r="D153" s="74"/>
      <c r="E153" s="74"/>
      <c r="F153" s="74"/>
      <c r="G153" s="74"/>
      <c r="H153" s="74"/>
      <c r="I153" s="74"/>
      <c r="J153" s="74"/>
      <c r="K153" s="16"/>
      <c r="L153" s="78"/>
    </row>
    <row r="154" spans="3:12">
      <c r="C154" s="73"/>
      <c r="D154" s="74"/>
      <c r="E154" s="74"/>
      <c r="F154" s="74"/>
      <c r="G154" s="74"/>
      <c r="H154" s="74"/>
      <c r="I154" s="74"/>
      <c r="J154" s="74"/>
      <c r="K154" s="16"/>
      <c r="L154" s="78"/>
    </row>
    <row r="155" spans="3:12">
      <c r="C155" s="73"/>
      <c r="D155" s="74"/>
      <c r="E155" s="74"/>
      <c r="F155" s="74"/>
      <c r="G155" s="74"/>
      <c r="H155" s="74"/>
      <c r="I155" s="74"/>
      <c r="J155" s="74"/>
      <c r="K155" s="16"/>
      <c r="L155" s="78"/>
    </row>
    <row r="156" spans="3:12">
      <c r="C156" s="73"/>
      <c r="D156" s="74"/>
      <c r="E156" s="74"/>
      <c r="F156" s="74"/>
      <c r="G156" s="74"/>
      <c r="H156" s="74"/>
      <c r="I156" s="74"/>
      <c r="J156" s="74"/>
      <c r="K156" s="16"/>
      <c r="L156" s="78"/>
    </row>
    <row r="157" spans="3:12">
      <c r="C157" s="73"/>
      <c r="D157" s="74"/>
      <c r="E157" s="74"/>
      <c r="F157" s="74"/>
      <c r="G157" s="74"/>
      <c r="H157" s="74"/>
      <c r="I157" s="74"/>
      <c r="J157" s="74"/>
      <c r="K157" s="16"/>
      <c r="L157" s="78"/>
    </row>
    <row r="158" spans="3:12" ht="36" customHeight="1">
      <c r="C158" s="337" t="s">
        <v>204</v>
      </c>
      <c r="D158" s="338"/>
      <c r="E158" s="338"/>
      <c r="F158" s="338"/>
      <c r="G158" s="338"/>
      <c r="H158" s="338"/>
      <c r="I158" s="338"/>
      <c r="J158" s="338"/>
      <c r="K158" s="16"/>
      <c r="L158" s="78"/>
    </row>
    <row r="159" spans="3:12" ht="15" customHeight="1">
      <c r="C159" s="337"/>
      <c r="D159" s="338"/>
      <c r="E159" s="338"/>
      <c r="F159" s="338"/>
      <c r="G159" s="338"/>
      <c r="H159" s="338"/>
      <c r="I159" s="338"/>
      <c r="J159" s="338"/>
      <c r="K159" s="75"/>
      <c r="L159" s="79"/>
    </row>
    <row r="160" spans="3:12">
      <c r="K160" s="75"/>
      <c r="L160" s="79"/>
    </row>
    <row r="161" spans="3:12">
      <c r="C161" s="73"/>
      <c r="D161" s="74"/>
      <c r="E161" s="74"/>
      <c r="F161" s="74"/>
      <c r="G161" s="74"/>
      <c r="H161" s="74"/>
      <c r="I161" s="74"/>
      <c r="J161" s="74"/>
      <c r="K161" s="16"/>
      <c r="L161" s="78"/>
    </row>
    <row r="162" spans="3:12">
      <c r="C162" s="73"/>
      <c r="D162" s="74"/>
      <c r="E162" s="74"/>
      <c r="F162" s="74"/>
      <c r="G162" s="74"/>
      <c r="H162" s="74"/>
      <c r="I162" s="74"/>
      <c r="J162" s="74"/>
      <c r="K162" s="16"/>
      <c r="L162" s="78"/>
    </row>
    <row r="163" spans="3:12">
      <c r="C163" s="73"/>
      <c r="D163" s="74"/>
      <c r="E163" s="74"/>
      <c r="F163" s="74"/>
      <c r="G163" s="74"/>
      <c r="H163" s="74"/>
      <c r="I163" s="74"/>
      <c r="J163" s="74"/>
      <c r="K163" s="16"/>
      <c r="L163" s="78"/>
    </row>
    <row r="164" spans="3:12">
      <c r="C164" s="80"/>
      <c r="D164" s="16"/>
      <c r="E164" s="16"/>
      <c r="F164" s="16"/>
      <c r="G164" s="16"/>
      <c r="H164" s="16"/>
      <c r="I164" s="16"/>
      <c r="J164" s="16"/>
      <c r="K164" s="16"/>
      <c r="L164" s="78"/>
    </row>
    <row r="165" spans="3:12">
      <c r="C165" s="80"/>
      <c r="D165" s="16"/>
      <c r="E165" s="16"/>
      <c r="F165" s="16"/>
      <c r="G165" s="16"/>
      <c r="H165" s="16"/>
      <c r="I165" s="16"/>
      <c r="J165" s="16"/>
      <c r="K165" s="16"/>
      <c r="L165" s="78"/>
    </row>
    <row r="166" spans="3:12">
      <c r="C166" s="80"/>
      <c r="D166" s="16"/>
      <c r="E166" s="16"/>
      <c r="F166" s="16"/>
      <c r="G166" s="16"/>
      <c r="H166" s="16"/>
      <c r="I166" s="16"/>
      <c r="J166" s="16"/>
      <c r="K166" s="16"/>
      <c r="L166" s="78"/>
    </row>
    <row r="167" spans="3:12">
      <c r="C167" s="80"/>
      <c r="D167" s="16"/>
      <c r="E167" s="16"/>
      <c r="F167" s="16"/>
      <c r="G167" s="16"/>
      <c r="H167" s="16"/>
      <c r="I167" s="16"/>
      <c r="J167" s="16"/>
      <c r="K167" s="16"/>
      <c r="L167" s="78"/>
    </row>
    <row r="168" spans="3:12">
      <c r="C168" s="80"/>
      <c r="D168" s="16"/>
      <c r="E168" s="16"/>
      <c r="F168" s="16"/>
      <c r="G168" s="16"/>
      <c r="H168" s="16"/>
      <c r="I168" s="16"/>
      <c r="J168" s="16"/>
      <c r="K168" s="16"/>
      <c r="L168" s="78"/>
    </row>
    <row r="169" spans="3:12">
      <c r="C169" s="80"/>
      <c r="D169" s="16"/>
      <c r="E169" s="16"/>
      <c r="F169" s="16"/>
      <c r="G169" s="16"/>
      <c r="H169" s="16"/>
      <c r="I169" s="16"/>
      <c r="J169" s="16"/>
      <c r="K169" s="16"/>
      <c r="L169" s="78"/>
    </row>
    <row r="170" spans="3:12">
      <c r="C170" s="80"/>
      <c r="D170" s="16"/>
      <c r="E170" s="16"/>
      <c r="F170" s="16"/>
      <c r="G170" s="16"/>
      <c r="H170" s="16"/>
      <c r="I170" s="16"/>
      <c r="J170" s="16"/>
      <c r="K170" s="16"/>
      <c r="L170" s="78"/>
    </row>
    <row r="171" spans="3:12">
      <c r="C171" s="80"/>
      <c r="D171" s="16"/>
      <c r="E171" s="16"/>
      <c r="F171" s="16"/>
      <c r="G171" s="16"/>
      <c r="H171" s="16"/>
      <c r="I171" s="16"/>
      <c r="J171" s="16"/>
      <c r="K171" s="16"/>
      <c r="L171" s="78"/>
    </row>
    <row r="172" spans="3:12">
      <c r="C172" s="80"/>
      <c r="D172" s="16"/>
      <c r="E172" s="16"/>
      <c r="F172" s="16"/>
      <c r="G172" s="16"/>
      <c r="H172" s="16"/>
      <c r="I172" s="16"/>
      <c r="J172" s="16"/>
      <c r="K172" s="16"/>
      <c r="L172" s="78"/>
    </row>
    <row r="173" spans="3:12">
      <c r="C173" s="80"/>
      <c r="D173" s="16"/>
      <c r="E173" s="16"/>
      <c r="F173" s="16"/>
      <c r="G173" s="16"/>
      <c r="H173" s="16"/>
      <c r="I173" s="16"/>
      <c r="J173" s="16"/>
      <c r="K173" s="16"/>
      <c r="L173" s="78"/>
    </row>
    <row r="174" spans="3:12">
      <c r="C174" s="80"/>
      <c r="D174" s="16"/>
      <c r="E174" s="16"/>
      <c r="F174" s="16"/>
      <c r="G174" s="16"/>
      <c r="H174" s="16"/>
      <c r="I174" s="16"/>
      <c r="J174" s="16"/>
      <c r="K174" s="16"/>
      <c r="L174" s="78"/>
    </row>
    <row r="175" spans="3:12">
      <c r="C175" s="80"/>
      <c r="D175" s="16"/>
      <c r="E175" s="16"/>
      <c r="F175" s="16"/>
      <c r="G175" s="16"/>
      <c r="H175" s="16"/>
      <c r="I175" s="16"/>
      <c r="J175" s="16"/>
      <c r="K175" s="16"/>
      <c r="L175" s="78"/>
    </row>
    <row r="176" spans="3:12">
      <c r="C176" s="80"/>
      <c r="D176" s="16"/>
      <c r="E176" s="16"/>
      <c r="F176" s="16"/>
      <c r="G176" s="16"/>
      <c r="H176" s="16"/>
      <c r="I176" s="16"/>
      <c r="J176" s="16"/>
      <c r="K176" s="16"/>
      <c r="L176" s="78"/>
    </row>
    <row r="177" spans="3:12">
      <c r="C177" s="80"/>
      <c r="D177" s="16"/>
      <c r="E177" s="16"/>
      <c r="F177" s="16"/>
      <c r="G177" s="16"/>
      <c r="H177" s="16"/>
      <c r="I177" s="16"/>
      <c r="J177" s="16"/>
      <c r="K177" s="16"/>
      <c r="L177" s="78"/>
    </row>
    <row r="178" spans="3:12">
      <c r="C178" s="80"/>
      <c r="D178" s="16"/>
      <c r="E178" s="16"/>
      <c r="F178" s="16"/>
      <c r="G178" s="16"/>
      <c r="H178" s="16"/>
      <c r="I178" s="16"/>
      <c r="J178" s="16"/>
      <c r="K178" s="16"/>
      <c r="L178" s="78"/>
    </row>
    <row r="179" spans="3:12">
      <c r="C179" s="80"/>
      <c r="D179" s="16"/>
      <c r="E179" s="16"/>
      <c r="F179" s="16"/>
      <c r="G179" s="16"/>
      <c r="H179" s="16"/>
      <c r="I179" s="16"/>
      <c r="J179" s="16"/>
      <c r="K179" s="16"/>
      <c r="L179" s="78"/>
    </row>
    <row r="180" spans="3:12">
      <c r="C180" s="80"/>
      <c r="D180" s="16"/>
      <c r="E180" s="16"/>
      <c r="F180" s="16"/>
      <c r="G180" s="16"/>
      <c r="H180" s="16"/>
      <c r="I180" s="16"/>
      <c r="J180" s="16"/>
      <c r="K180" s="16"/>
      <c r="L180" s="78"/>
    </row>
    <row r="181" spans="3:12">
      <c r="C181" s="80"/>
      <c r="D181" s="16"/>
      <c r="E181" s="16"/>
      <c r="F181" s="16"/>
      <c r="G181" s="16"/>
      <c r="H181" s="16"/>
      <c r="I181" s="16"/>
      <c r="J181" s="16"/>
      <c r="K181" s="16"/>
      <c r="L181" s="78"/>
    </row>
    <row r="182" spans="3:12">
      <c r="C182" s="80"/>
      <c r="D182" s="16"/>
      <c r="E182" s="16"/>
      <c r="F182" s="16"/>
      <c r="G182" s="16"/>
      <c r="H182" s="16"/>
      <c r="I182" s="16"/>
      <c r="J182" s="16"/>
      <c r="K182" s="16"/>
      <c r="L182" s="78"/>
    </row>
    <row r="183" spans="3:12">
      <c r="C183" s="80"/>
      <c r="D183" s="16"/>
      <c r="E183" s="16"/>
      <c r="F183" s="16"/>
      <c r="G183" s="16"/>
      <c r="H183" s="16"/>
      <c r="I183" s="16"/>
      <c r="J183" s="16"/>
      <c r="K183" s="16"/>
      <c r="L183" s="78"/>
    </row>
    <row r="184" spans="3:12">
      <c r="C184" s="80" t="s">
        <v>205</v>
      </c>
      <c r="D184" s="16"/>
      <c r="E184" s="16"/>
      <c r="F184" s="16"/>
      <c r="G184" s="16"/>
      <c r="H184" s="16"/>
      <c r="I184" s="16"/>
      <c r="J184" s="16"/>
      <c r="K184" s="16"/>
      <c r="L184" s="78"/>
    </row>
    <row r="185" spans="3:12">
      <c r="C185" s="80"/>
      <c r="D185" s="16"/>
      <c r="E185" s="16"/>
      <c r="F185" s="16"/>
      <c r="G185" s="16"/>
      <c r="H185" s="16"/>
      <c r="I185" s="16"/>
      <c r="J185" s="16"/>
      <c r="K185" s="16"/>
      <c r="L185" s="78"/>
    </row>
    <row r="186" spans="3:12">
      <c r="C186" s="80"/>
      <c r="D186" s="16"/>
      <c r="E186" s="16"/>
      <c r="F186" s="16"/>
      <c r="G186" s="16"/>
      <c r="H186" s="16"/>
      <c r="I186" s="16"/>
      <c r="J186" s="16"/>
      <c r="K186" s="16"/>
      <c r="L186" s="78"/>
    </row>
    <row r="187" spans="3:12">
      <c r="C187" s="80"/>
      <c r="D187" s="16"/>
      <c r="E187" s="16"/>
      <c r="F187" s="16"/>
      <c r="G187" s="16"/>
      <c r="H187" s="16"/>
      <c r="I187" s="16"/>
      <c r="J187" s="16"/>
      <c r="K187" s="16"/>
      <c r="L187" s="78"/>
    </row>
    <row r="188" spans="3:12">
      <c r="C188" s="80"/>
      <c r="D188" s="16"/>
      <c r="E188" s="16"/>
      <c r="F188" s="16"/>
      <c r="G188" s="16"/>
      <c r="H188" s="16"/>
      <c r="I188" s="16"/>
      <c r="J188" s="16"/>
      <c r="K188" s="16"/>
      <c r="L188" s="78"/>
    </row>
    <row r="189" spans="3:12">
      <c r="C189" s="80"/>
      <c r="D189" s="16"/>
      <c r="E189" s="16"/>
      <c r="F189" s="16"/>
      <c r="G189" s="16"/>
      <c r="H189" s="16"/>
      <c r="I189" s="16"/>
      <c r="J189" s="16"/>
      <c r="K189" s="16"/>
      <c r="L189" s="78"/>
    </row>
    <row r="190" spans="3:12">
      <c r="C190" s="80"/>
      <c r="D190" s="16"/>
      <c r="E190" s="16"/>
      <c r="F190" s="16"/>
      <c r="G190" s="16"/>
      <c r="H190" s="16"/>
      <c r="I190" s="16"/>
      <c r="J190" s="16"/>
      <c r="K190" s="16"/>
      <c r="L190" s="78"/>
    </row>
    <row r="191" spans="3:12">
      <c r="C191" s="80"/>
      <c r="D191" s="16"/>
      <c r="E191" s="16"/>
      <c r="F191" s="16"/>
      <c r="G191" s="16"/>
      <c r="H191" s="16"/>
      <c r="I191" s="16"/>
      <c r="J191" s="16"/>
      <c r="K191" s="16"/>
      <c r="L191" s="78"/>
    </row>
    <row r="192" spans="3:12">
      <c r="C192" s="80"/>
      <c r="D192" s="16"/>
      <c r="E192" s="16"/>
      <c r="F192" s="16"/>
      <c r="G192" s="16"/>
      <c r="H192" s="16"/>
      <c r="I192" s="16"/>
      <c r="J192" s="16"/>
      <c r="K192" s="16"/>
      <c r="L192" s="78"/>
    </row>
    <row r="193" spans="3:12">
      <c r="C193" s="80"/>
      <c r="D193" s="16"/>
      <c r="E193" s="16"/>
      <c r="F193" s="16"/>
      <c r="G193" s="16"/>
      <c r="H193" s="16"/>
      <c r="I193" s="16"/>
      <c r="J193" s="16"/>
      <c r="K193" s="16"/>
      <c r="L193" s="78"/>
    </row>
    <row r="194" spans="3:12">
      <c r="C194" s="80"/>
      <c r="D194" s="16"/>
      <c r="E194" s="16"/>
      <c r="F194" s="16"/>
      <c r="G194" s="16"/>
      <c r="H194" s="16"/>
      <c r="I194" s="16"/>
      <c r="J194" s="16"/>
      <c r="K194" s="16"/>
      <c r="L194" s="78"/>
    </row>
    <row r="195" spans="3:12">
      <c r="C195" s="81"/>
      <c r="D195" s="82"/>
      <c r="E195" s="82"/>
      <c r="F195" s="82"/>
      <c r="G195" s="82"/>
      <c r="H195" s="82"/>
      <c r="I195" s="82"/>
      <c r="J195" s="82"/>
      <c r="K195" s="82"/>
      <c r="L195" s="83"/>
    </row>
  </sheetData>
  <sheetProtection password="86F2" sheet="1" objects="1" scenarios="1"/>
  <mergeCells count="4">
    <mergeCell ref="C158:J159"/>
    <mergeCell ref="C26:J26"/>
    <mergeCell ref="C4:F4"/>
    <mergeCell ref="C6:J2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Hoja131"/>
  <dimension ref="A2:G23"/>
  <sheetViews>
    <sheetView workbookViewId="0">
      <selection activeCell="H14" sqref="H14"/>
    </sheetView>
  </sheetViews>
  <sheetFormatPr baseColWidth="10" defaultRowHeight="15"/>
  <cols>
    <col min="1" max="1" width="19.7109375" style="1" customWidth="1"/>
    <col min="2" max="6" width="11.42578125" style="1"/>
    <col min="7" max="7" width="35" style="1" customWidth="1"/>
    <col min="8" max="16384" width="11.42578125" style="1"/>
  </cols>
  <sheetData>
    <row r="2" spans="1:7">
      <c r="A2" s="48" t="s">
        <v>183</v>
      </c>
    </row>
    <row r="4" spans="1:7">
      <c r="C4" s="348" t="s">
        <v>157</v>
      </c>
      <c r="D4" s="349"/>
      <c r="E4" s="349"/>
      <c r="F4" s="349"/>
      <c r="G4" s="350"/>
    </row>
    <row r="6" spans="1:7" ht="15" customHeight="1">
      <c r="C6" s="294" t="s">
        <v>194</v>
      </c>
      <c r="D6" s="345"/>
      <c r="E6" s="345"/>
      <c r="F6" s="345"/>
      <c r="G6" s="295"/>
    </row>
    <row r="7" spans="1:7">
      <c r="C7" s="296"/>
      <c r="D7" s="346"/>
      <c r="E7" s="346"/>
      <c r="F7" s="346"/>
      <c r="G7" s="297"/>
    </row>
    <row r="8" spans="1:7" ht="22.5" customHeight="1">
      <c r="C8" s="296"/>
      <c r="D8" s="346"/>
      <c r="E8" s="346"/>
      <c r="F8" s="346"/>
      <c r="G8" s="297"/>
    </row>
    <row r="9" spans="1:7" ht="15" customHeight="1">
      <c r="C9" s="296" t="s">
        <v>193</v>
      </c>
      <c r="D9" s="346"/>
      <c r="E9" s="346"/>
      <c r="F9" s="346"/>
      <c r="G9" s="297"/>
    </row>
    <row r="10" spans="1:7">
      <c r="C10" s="296"/>
      <c r="D10" s="346"/>
      <c r="E10" s="346"/>
      <c r="F10" s="346"/>
      <c r="G10" s="297"/>
    </row>
    <row r="11" spans="1:7">
      <c r="C11" s="296"/>
      <c r="D11" s="346"/>
      <c r="E11" s="346"/>
      <c r="F11" s="346"/>
      <c r="G11" s="297"/>
    </row>
    <row r="12" spans="1:7">
      <c r="C12" s="298"/>
      <c r="D12" s="347"/>
      <c r="E12" s="347"/>
      <c r="F12" s="347"/>
      <c r="G12" s="299"/>
    </row>
    <row r="14" spans="1:7">
      <c r="B14" s="46" t="s">
        <v>192</v>
      </c>
    </row>
    <row r="15" spans="1:7">
      <c r="C15" s="294" t="s">
        <v>206</v>
      </c>
      <c r="D15" s="327"/>
      <c r="E15" s="327"/>
      <c r="F15" s="327"/>
      <c r="G15" s="300"/>
    </row>
    <row r="16" spans="1:7">
      <c r="C16" s="301"/>
      <c r="D16" s="328"/>
      <c r="E16" s="328"/>
      <c r="F16" s="328"/>
      <c r="G16" s="302"/>
    </row>
    <row r="17" spans="3:7">
      <c r="C17" s="301"/>
      <c r="D17" s="328"/>
      <c r="E17" s="328"/>
      <c r="F17" s="328"/>
      <c r="G17" s="302"/>
    </row>
    <row r="18" spans="3:7">
      <c r="C18" s="301"/>
      <c r="D18" s="328"/>
      <c r="E18" s="328"/>
      <c r="F18" s="328"/>
      <c r="G18" s="302"/>
    </row>
    <row r="19" spans="3:7">
      <c r="C19" s="301"/>
      <c r="D19" s="328"/>
      <c r="E19" s="328"/>
      <c r="F19" s="328"/>
      <c r="G19" s="302"/>
    </row>
    <row r="20" spans="3:7">
      <c r="C20" s="301"/>
      <c r="D20" s="328"/>
      <c r="E20" s="328"/>
      <c r="F20" s="328"/>
      <c r="G20" s="302"/>
    </row>
    <row r="21" spans="3:7">
      <c r="C21" s="301"/>
      <c r="D21" s="328"/>
      <c r="E21" s="328"/>
      <c r="F21" s="328"/>
      <c r="G21" s="302"/>
    </row>
    <row r="22" spans="3:7">
      <c r="C22" s="301"/>
      <c r="D22" s="328"/>
      <c r="E22" s="328"/>
      <c r="F22" s="328"/>
      <c r="G22" s="302"/>
    </row>
    <row r="23" spans="3:7">
      <c r="C23" s="303"/>
      <c r="D23" s="329"/>
      <c r="E23" s="329"/>
      <c r="F23" s="329"/>
      <c r="G23" s="304"/>
    </row>
  </sheetData>
  <sheetProtection password="86F2" sheet="1" objects="1" scenarios="1"/>
  <mergeCells count="4">
    <mergeCell ref="C4:G4"/>
    <mergeCell ref="C6:G8"/>
    <mergeCell ref="C9:G12"/>
    <mergeCell ref="C15:G2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Hoja13"/>
  <dimension ref="A1:I191"/>
  <sheetViews>
    <sheetView workbookViewId="0">
      <selection activeCell="E18" sqref="E18"/>
    </sheetView>
  </sheetViews>
  <sheetFormatPr baseColWidth="10" defaultRowHeight="15"/>
  <cols>
    <col min="1" max="1" width="12.7109375" style="93" bestFit="1" customWidth="1"/>
    <col min="2" max="2" width="8.140625" bestFit="1" customWidth="1"/>
    <col min="3" max="3" width="18.42578125" style="94" bestFit="1" customWidth="1"/>
    <col min="4" max="4" width="19" bestFit="1" customWidth="1"/>
    <col min="5" max="5" width="65" bestFit="1" customWidth="1"/>
    <col min="9" max="9" width="11.85546875" bestFit="1" customWidth="1"/>
  </cols>
  <sheetData>
    <row r="1" spans="1:9" s="88" customFormat="1">
      <c r="A1" s="87" t="s">
        <v>236</v>
      </c>
      <c r="B1" s="88" t="s">
        <v>237</v>
      </c>
      <c r="C1" s="89" t="s">
        <v>238</v>
      </c>
      <c r="D1" s="88" t="s">
        <v>239</v>
      </c>
      <c r="E1" s="88" t="s">
        <v>240</v>
      </c>
      <c r="F1" s="88" t="s">
        <v>241</v>
      </c>
      <c r="G1" s="88" t="s">
        <v>242</v>
      </c>
      <c r="H1" s="88" t="s">
        <v>243</v>
      </c>
      <c r="I1" s="88" t="s">
        <v>244</v>
      </c>
    </row>
    <row r="2" spans="1:9">
      <c r="A2" s="90" t="s">
        <v>5</v>
      </c>
      <c r="B2" s="1" t="s">
        <v>0</v>
      </c>
      <c r="C2" s="1" t="s">
        <v>45</v>
      </c>
      <c r="D2" s="1" t="s">
        <v>57</v>
      </c>
      <c r="E2" s="1" t="s">
        <v>60</v>
      </c>
      <c r="F2" s="1" t="s">
        <v>79</v>
      </c>
      <c r="G2" s="1" t="s">
        <v>86</v>
      </c>
      <c r="H2" s="1" t="s">
        <v>91</v>
      </c>
      <c r="I2" s="95">
        <f ca="1">TODAY()</f>
        <v>43383</v>
      </c>
    </row>
    <row r="3" spans="1:9">
      <c r="A3" s="91" t="s">
        <v>6</v>
      </c>
      <c r="B3" s="1" t="s">
        <v>1</v>
      </c>
      <c r="C3" s="1" t="s">
        <v>46</v>
      </c>
      <c r="D3" s="1" t="s">
        <v>58</v>
      </c>
      <c r="E3" s="1" t="s">
        <v>61</v>
      </c>
      <c r="F3" s="1" t="s">
        <v>80</v>
      </c>
      <c r="G3" s="1" t="s">
        <v>87</v>
      </c>
      <c r="H3" s="1" t="s">
        <v>92</v>
      </c>
    </row>
    <row r="4" spans="1:9">
      <c r="A4" s="90" t="s">
        <v>8</v>
      </c>
      <c r="C4" s="1" t="s">
        <v>49</v>
      </c>
      <c r="E4" s="1" t="s">
        <v>63</v>
      </c>
      <c r="F4" s="1" t="s">
        <v>81</v>
      </c>
      <c r="G4" s="1" t="s">
        <v>88</v>
      </c>
      <c r="H4" s="1" t="s">
        <v>94</v>
      </c>
    </row>
    <row r="5" spans="1:9">
      <c r="A5" s="90" t="s">
        <v>9</v>
      </c>
      <c r="C5" s="92"/>
      <c r="E5" s="1" t="s">
        <v>64</v>
      </c>
      <c r="G5" s="1" t="s">
        <v>89</v>
      </c>
      <c r="H5" s="1" t="s">
        <v>95</v>
      </c>
    </row>
    <row r="6" spans="1:9" ht="25.5">
      <c r="A6" s="90" t="s">
        <v>12</v>
      </c>
      <c r="C6" s="92"/>
      <c r="E6" s="1" t="s">
        <v>66</v>
      </c>
    </row>
    <row r="7" spans="1:9">
      <c r="A7" s="90" t="s">
        <v>13</v>
      </c>
      <c r="C7" s="92"/>
      <c r="E7" s="1" t="s">
        <v>68</v>
      </c>
    </row>
    <row r="8" spans="1:9">
      <c r="A8" s="90" t="s">
        <v>15</v>
      </c>
      <c r="C8" s="92"/>
      <c r="E8" s="1" t="s">
        <v>70</v>
      </c>
    </row>
    <row r="9" spans="1:9" ht="25.5">
      <c r="A9" s="90" t="s">
        <v>16</v>
      </c>
      <c r="C9" s="92"/>
      <c r="E9" s="1" t="s">
        <v>71</v>
      </c>
    </row>
    <row r="10" spans="1:9">
      <c r="A10" s="90" t="s">
        <v>18</v>
      </c>
      <c r="C10" s="92"/>
      <c r="E10" s="1" t="s">
        <v>72</v>
      </c>
    </row>
    <row r="11" spans="1:9">
      <c r="A11" s="91" t="s">
        <v>19</v>
      </c>
      <c r="C11" s="92"/>
      <c r="E11" s="1" t="s">
        <v>73</v>
      </c>
    </row>
    <row r="12" spans="1:9">
      <c r="A12" s="90" t="s">
        <v>21</v>
      </c>
      <c r="C12" s="92"/>
      <c r="E12" s="1" t="s">
        <v>74</v>
      </c>
    </row>
    <row r="13" spans="1:9">
      <c r="A13" s="90" t="s">
        <v>22</v>
      </c>
      <c r="C13" s="92"/>
      <c r="E13" s="1" t="s">
        <v>75</v>
      </c>
    </row>
    <row r="14" spans="1:9">
      <c r="A14" s="91" t="s">
        <v>24</v>
      </c>
      <c r="C14" s="92"/>
      <c r="E14" s="1" t="s">
        <v>76</v>
      </c>
    </row>
    <row r="15" spans="1:9">
      <c r="A15" s="90" t="s">
        <v>25</v>
      </c>
      <c r="C15" s="92"/>
      <c r="E15" s="1" t="s">
        <v>77</v>
      </c>
    </row>
    <row r="16" spans="1:9" ht="25.5">
      <c r="A16" s="90" t="s">
        <v>27</v>
      </c>
      <c r="C16" s="92"/>
    </row>
    <row r="17" spans="1:3">
      <c r="A17" s="90" t="s">
        <v>28</v>
      </c>
      <c r="C17" s="92"/>
    </row>
    <row r="18" spans="1:3">
      <c r="A18" s="90" t="s">
        <v>30</v>
      </c>
      <c r="C18" s="92"/>
    </row>
    <row r="19" spans="1:3">
      <c r="A19" s="90" t="s">
        <v>31</v>
      </c>
      <c r="C19" s="92"/>
    </row>
    <row r="20" spans="1:3">
      <c r="A20" s="90" t="s">
        <v>33</v>
      </c>
      <c r="C20" s="92"/>
    </row>
    <row r="21" spans="1:3" ht="25.5">
      <c r="A21" s="91" t="s">
        <v>34</v>
      </c>
      <c r="C21" s="92"/>
    </row>
    <row r="22" spans="1:3" ht="25.5">
      <c r="A22" s="90" t="s">
        <v>35</v>
      </c>
      <c r="C22" s="92"/>
    </row>
    <row r="23" spans="1:3">
      <c r="A23" s="90" t="s">
        <v>38</v>
      </c>
      <c r="C23" s="92"/>
    </row>
    <row r="24" spans="1:3" ht="25.5">
      <c r="A24" s="90" t="s">
        <v>39</v>
      </c>
      <c r="C24" s="92"/>
    </row>
    <row r="25" spans="1:3" ht="25.5">
      <c r="A25" s="90" t="s">
        <v>42</v>
      </c>
      <c r="C25" s="92"/>
    </row>
    <row r="26" spans="1:3">
      <c r="C26" s="92"/>
    </row>
    <row r="27" spans="1:3">
      <c r="C27" s="92"/>
    </row>
    <row r="28" spans="1:3">
      <c r="C28" s="92"/>
    </row>
    <row r="29" spans="1:3">
      <c r="C29" s="92"/>
    </row>
    <row r="30" spans="1:3">
      <c r="C30" s="92"/>
    </row>
    <row r="31" spans="1:3">
      <c r="C31" s="92"/>
    </row>
    <row r="32" spans="1:3">
      <c r="C32" s="92"/>
    </row>
    <row r="33" spans="3:3">
      <c r="C33" s="92"/>
    </row>
    <row r="34" spans="3:3">
      <c r="C34" s="92"/>
    </row>
    <row r="35" spans="3:3">
      <c r="C35" s="92"/>
    </row>
    <row r="36" spans="3:3">
      <c r="C36" s="92"/>
    </row>
    <row r="37" spans="3:3">
      <c r="C37" s="92"/>
    </row>
    <row r="38" spans="3:3">
      <c r="C38" s="92"/>
    </row>
    <row r="39" spans="3:3">
      <c r="C39" s="92"/>
    </row>
    <row r="40" spans="3:3">
      <c r="C40" s="92"/>
    </row>
    <row r="41" spans="3:3">
      <c r="C41" s="92"/>
    </row>
    <row r="42" spans="3:3">
      <c r="C42" s="92"/>
    </row>
    <row r="43" spans="3:3">
      <c r="C43" s="92"/>
    </row>
    <row r="44" spans="3:3">
      <c r="C44" s="92"/>
    </row>
    <row r="45" spans="3:3">
      <c r="C45" s="92"/>
    </row>
    <row r="46" spans="3:3">
      <c r="C46" s="92"/>
    </row>
    <row r="47" spans="3:3">
      <c r="C47" s="92"/>
    </row>
    <row r="48" spans="3:3">
      <c r="C48" s="92"/>
    </row>
    <row r="49" spans="3:3">
      <c r="C49" s="92"/>
    </row>
    <row r="50" spans="3:3">
      <c r="C50" s="92"/>
    </row>
    <row r="51" spans="3:3">
      <c r="C51" s="92"/>
    </row>
    <row r="52" spans="3:3">
      <c r="C52" s="92"/>
    </row>
    <row r="53" spans="3:3">
      <c r="C53" s="92"/>
    </row>
    <row r="54" spans="3:3">
      <c r="C54" s="92"/>
    </row>
    <row r="55" spans="3:3">
      <c r="C55" s="92"/>
    </row>
    <row r="56" spans="3:3">
      <c r="C56" s="92"/>
    </row>
    <row r="57" spans="3:3">
      <c r="C57" s="92"/>
    </row>
    <row r="58" spans="3:3">
      <c r="C58" s="92"/>
    </row>
    <row r="59" spans="3:3">
      <c r="C59" s="92"/>
    </row>
    <row r="60" spans="3:3">
      <c r="C60" s="92"/>
    </row>
    <row r="61" spans="3:3">
      <c r="C61" s="92"/>
    </row>
    <row r="62" spans="3:3">
      <c r="C62" s="92"/>
    </row>
    <row r="63" spans="3:3">
      <c r="C63" s="92"/>
    </row>
    <row r="64" spans="3:3">
      <c r="C64" s="92"/>
    </row>
    <row r="65" spans="3:3">
      <c r="C65" s="92"/>
    </row>
    <row r="66" spans="3:3">
      <c r="C66" s="92"/>
    </row>
    <row r="67" spans="3:3">
      <c r="C67" s="92"/>
    </row>
    <row r="68" spans="3:3">
      <c r="C68" s="92"/>
    </row>
    <row r="69" spans="3:3">
      <c r="C69" s="92"/>
    </row>
    <row r="70" spans="3:3">
      <c r="C70" s="92"/>
    </row>
    <row r="71" spans="3:3">
      <c r="C71" s="92"/>
    </row>
    <row r="72" spans="3:3">
      <c r="C72" s="92"/>
    </row>
    <row r="73" spans="3:3">
      <c r="C73" s="92"/>
    </row>
    <row r="74" spans="3:3">
      <c r="C74" s="92"/>
    </row>
    <row r="75" spans="3:3">
      <c r="C75" s="92"/>
    </row>
    <row r="76" spans="3:3">
      <c r="C76" s="92"/>
    </row>
    <row r="77" spans="3:3">
      <c r="C77" s="92"/>
    </row>
    <row r="78" spans="3:3">
      <c r="C78" s="92"/>
    </row>
    <row r="79" spans="3:3">
      <c r="C79" s="92"/>
    </row>
    <row r="80" spans="3:3">
      <c r="C80" s="92"/>
    </row>
    <row r="81" spans="3:3">
      <c r="C81" s="92"/>
    </row>
    <row r="82" spans="3:3">
      <c r="C82" s="92"/>
    </row>
    <row r="83" spans="3:3">
      <c r="C83" s="92"/>
    </row>
    <row r="84" spans="3:3">
      <c r="C84" s="92"/>
    </row>
    <row r="85" spans="3:3">
      <c r="C85" s="92"/>
    </row>
    <row r="86" spans="3:3">
      <c r="C86" s="92"/>
    </row>
    <row r="87" spans="3:3">
      <c r="C87" s="92"/>
    </row>
    <row r="88" spans="3:3">
      <c r="C88" s="92"/>
    </row>
    <row r="89" spans="3:3">
      <c r="C89" s="92"/>
    </row>
    <row r="90" spans="3:3">
      <c r="C90" s="92"/>
    </row>
    <row r="91" spans="3:3">
      <c r="C91" s="92"/>
    </row>
    <row r="92" spans="3:3">
      <c r="C92" s="92"/>
    </row>
    <row r="93" spans="3:3">
      <c r="C93" s="92"/>
    </row>
    <row r="94" spans="3:3">
      <c r="C94" s="92"/>
    </row>
    <row r="95" spans="3:3">
      <c r="C95" s="92"/>
    </row>
    <row r="96" spans="3:3">
      <c r="C96" s="92"/>
    </row>
    <row r="97" spans="3:3">
      <c r="C97" s="92"/>
    </row>
    <row r="98" spans="3:3">
      <c r="C98" s="92"/>
    </row>
    <row r="99" spans="3:3">
      <c r="C99" s="92"/>
    </row>
    <row r="100" spans="3:3">
      <c r="C100" s="92"/>
    </row>
    <row r="101" spans="3:3">
      <c r="C101" s="92"/>
    </row>
    <row r="102" spans="3:3">
      <c r="C102" s="92"/>
    </row>
    <row r="103" spans="3:3">
      <c r="C103" s="92"/>
    </row>
    <row r="104" spans="3:3">
      <c r="C104" s="92"/>
    </row>
    <row r="105" spans="3:3">
      <c r="C105" s="92"/>
    </row>
    <row r="106" spans="3:3">
      <c r="C106" s="92"/>
    </row>
    <row r="107" spans="3:3">
      <c r="C107" s="92"/>
    </row>
    <row r="108" spans="3:3">
      <c r="C108" s="92"/>
    </row>
    <row r="109" spans="3:3">
      <c r="C109" s="92"/>
    </row>
    <row r="110" spans="3:3">
      <c r="C110" s="92"/>
    </row>
    <row r="111" spans="3:3">
      <c r="C111" s="92"/>
    </row>
    <row r="112" spans="3:3">
      <c r="C112" s="92"/>
    </row>
    <row r="113" spans="3:3">
      <c r="C113" s="92"/>
    </row>
    <row r="114" spans="3:3">
      <c r="C114" s="92"/>
    </row>
    <row r="115" spans="3:3">
      <c r="C115" s="92"/>
    </row>
    <row r="116" spans="3:3">
      <c r="C116" s="92"/>
    </row>
    <row r="117" spans="3:3">
      <c r="C117" s="92"/>
    </row>
    <row r="118" spans="3:3">
      <c r="C118" s="92"/>
    </row>
    <row r="119" spans="3:3">
      <c r="C119" s="92"/>
    </row>
    <row r="120" spans="3:3">
      <c r="C120" s="92"/>
    </row>
    <row r="121" spans="3:3">
      <c r="C121" s="92"/>
    </row>
    <row r="122" spans="3:3">
      <c r="C122" s="92"/>
    </row>
    <row r="123" spans="3:3">
      <c r="C123" s="92"/>
    </row>
    <row r="124" spans="3:3">
      <c r="C124" s="92"/>
    </row>
    <row r="125" spans="3:3">
      <c r="C125" s="92"/>
    </row>
    <row r="126" spans="3:3">
      <c r="C126" s="92"/>
    </row>
    <row r="127" spans="3:3">
      <c r="C127" s="92"/>
    </row>
    <row r="128" spans="3:3">
      <c r="C128" s="92"/>
    </row>
    <row r="129" spans="3:3">
      <c r="C129" s="92"/>
    </row>
    <row r="130" spans="3:3">
      <c r="C130" s="92"/>
    </row>
    <row r="131" spans="3:3">
      <c r="C131" s="92"/>
    </row>
    <row r="132" spans="3:3">
      <c r="C132" s="92"/>
    </row>
    <row r="133" spans="3:3">
      <c r="C133" s="92"/>
    </row>
    <row r="134" spans="3:3">
      <c r="C134" s="92"/>
    </row>
    <row r="135" spans="3:3">
      <c r="C135" s="92"/>
    </row>
    <row r="136" spans="3:3">
      <c r="C136" s="92"/>
    </row>
    <row r="137" spans="3:3">
      <c r="C137" s="92"/>
    </row>
    <row r="138" spans="3:3">
      <c r="C138" s="92"/>
    </row>
    <row r="139" spans="3:3">
      <c r="C139" s="92"/>
    </row>
    <row r="140" spans="3:3">
      <c r="C140" s="92"/>
    </row>
    <row r="141" spans="3:3">
      <c r="C141" s="92"/>
    </row>
    <row r="142" spans="3:3">
      <c r="C142" s="92"/>
    </row>
    <row r="143" spans="3:3">
      <c r="C143" s="92"/>
    </row>
    <row r="144" spans="3:3">
      <c r="C144" s="92"/>
    </row>
    <row r="145" spans="3:3">
      <c r="C145" s="92"/>
    </row>
    <row r="146" spans="3:3">
      <c r="C146" s="92"/>
    </row>
    <row r="147" spans="3:3">
      <c r="C147" s="92"/>
    </row>
    <row r="148" spans="3:3">
      <c r="C148" s="92"/>
    </row>
    <row r="149" spans="3:3">
      <c r="C149" s="92"/>
    </row>
    <row r="150" spans="3:3">
      <c r="C150" s="92"/>
    </row>
    <row r="151" spans="3:3">
      <c r="C151" s="92"/>
    </row>
    <row r="152" spans="3:3">
      <c r="C152" s="92"/>
    </row>
    <row r="153" spans="3:3">
      <c r="C153" s="92"/>
    </row>
    <row r="154" spans="3:3">
      <c r="C154" s="92"/>
    </row>
    <row r="155" spans="3:3">
      <c r="C155" s="92"/>
    </row>
    <row r="156" spans="3:3">
      <c r="C156" s="92"/>
    </row>
    <row r="157" spans="3:3">
      <c r="C157" s="92"/>
    </row>
    <row r="158" spans="3:3">
      <c r="C158" s="92"/>
    </row>
    <row r="159" spans="3:3">
      <c r="C159" s="92"/>
    </row>
    <row r="160" spans="3:3">
      <c r="C160" s="92"/>
    </row>
    <row r="161" spans="3:3">
      <c r="C161" s="92"/>
    </row>
    <row r="162" spans="3:3">
      <c r="C162" s="92"/>
    </row>
    <row r="163" spans="3:3">
      <c r="C163" s="92"/>
    </row>
    <row r="164" spans="3:3">
      <c r="C164" s="92"/>
    </row>
    <row r="165" spans="3:3">
      <c r="C165" s="92"/>
    </row>
    <row r="166" spans="3:3">
      <c r="C166" s="92"/>
    </row>
    <row r="167" spans="3:3">
      <c r="C167" s="92"/>
    </row>
    <row r="168" spans="3:3">
      <c r="C168" s="92"/>
    </row>
    <row r="169" spans="3:3">
      <c r="C169" s="92"/>
    </row>
    <row r="170" spans="3:3">
      <c r="C170" s="92"/>
    </row>
    <row r="171" spans="3:3">
      <c r="C171" s="92"/>
    </row>
    <row r="172" spans="3:3">
      <c r="C172" s="92"/>
    </row>
    <row r="173" spans="3:3">
      <c r="C173" s="92"/>
    </row>
    <row r="174" spans="3:3">
      <c r="C174" s="92"/>
    </row>
    <row r="175" spans="3:3">
      <c r="C175" s="92"/>
    </row>
    <row r="176" spans="3:3">
      <c r="C176" s="92"/>
    </row>
    <row r="177" spans="3:3">
      <c r="C177" s="92"/>
    </row>
    <row r="178" spans="3:3">
      <c r="C178" s="92"/>
    </row>
    <row r="179" spans="3:3">
      <c r="C179" s="92"/>
    </row>
    <row r="180" spans="3:3">
      <c r="C180" s="92"/>
    </row>
    <row r="181" spans="3:3">
      <c r="C181" s="92"/>
    </row>
    <row r="182" spans="3:3">
      <c r="C182" s="92"/>
    </row>
    <row r="183" spans="3:3">
      <c r="C183" s="92"/>
    </row>
    <row r="184" spans="3:3">
      <c r="C184" s="92"/>
    </row>
    <row r="185" spans="3:3">
      <c r="C185" s="92"/>
    </row>
    <row r="186" spans="3:3">
      <c r="C186" s="92"/>
    </row>
    <row r="187" spans="3:3">
      <c r="C187" s="92"/>
    </row>
    <row r="188" spans="3:3">
      <c r="C188" s="92"/>
    </row>
    <row r="189" spans="3:3">
      <c r="C189" s="92"/>
    </row>
    <row r="190" spans="3:3">
      <c r="C190" s="92"/>
    </row>
    <row r="191" spans="3:3">
      <c r="C191" s="92"/>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Mipyme Persona Natural</vt:lpstr>
      <vt:lpstr>1.1</vt:lpstr>
      <vt:lpstr>1.2</vt:lpstr>
      <vt:lpstr>1.3</vt:lpstr>
      <vt:lpstr>1.4</vt:lpstr>
      <vt:lpstr>1.5</vt:lpstr>
      <vt:lpstr>1.6</vt:lpstr>
      <vt:lpstr>1.7</vt:lpstr>
      <vt:lpstr>1.8</vt:lpstr>
      <vt:lpstr>1.9</vt:lpstr>
      <vt:lpstr>1.10</vt:lpstr>
      <vt:lpstr>1.11</vt:lpstr>
      <vt:lpstr>catalogo</vt:lpstr>
      <vt:lpstr>'Mipyme Persona Natural'!Área_de_impresión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gsoto</dc:creator>
  <cp:lastModifiedBy>gsoto</cp:lastModifiedBy>
  <dcterms:created xsi:type="dcterms:W3CDTF">2018-08-29T17:39:29Z</dcterms:created>
  <dcterms:modified xsi:type="dcterms:W3CDTF">2018-10-10T17:04:28Z</dcterms:modified>
</cp:coreProperties>
</file>