
<file path=[Content_Types].xml><?xml version="1.0" encoding="utf-8"?>
<Types xmlns="http://schemas.openxmlformats.org/package/2006/content-type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ctrlProps/ctrlProp29.xml" ContentType="application/vnd.ms-excel.controlproperties+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vbaProject.bin" ContentType="application/vnd.ms-office.vbaProject"/>
  <Override PartName="/xl/ctrlProps/ctrlProp18.xml" ContentType="application/vnd.ms-excel.controlproperties+xml"/>
  <Override PartName="/xl/ctrlProps/ctrlProp27.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ctrlProps/ctrlProp25.xml" ContentType="application/vnd.ms-excel.controlproperties+xml"/>
  <Override PartName="/xl/ctrlProps/ctrlProp16.xml" ContentType="application/vnd.ms-excel.control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trlProps/ctrlProp23.xml" ContentType="application/vnd.ms-excel.controlproperties+xml"/>
  <Override PartName="/xl/ctrlProps/ctrlProp14.xml" ContentType="application/vnd.ms-excel.controlproperties+xml"/>
  <Override PartName="/xl/ctrlProps/ctrlProp22.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ctrlProps/ctrlProp21.xml" ContentType="application/vnd.ms-excel.controlproperties+xml"/>
  <Override PartName="/xl/ctrlProps/ctrlProp12.xml" ContentType="application/vnd.ms-excel.controlproperties+xml"/>
  <Override PartName="/xl/ctrlProps/ctrlProp20.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drawings/drawing10.xml" ContentType="application/vnd.openxmlformats-officedocument.drawing+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Override PartName="/xl/drawings/drawing9.xml" ContentType="application/vnd.openxmlformats-officedocument.drawing+xml"/>
  <Override PartName="/xl/drawings/drawing7.xml" ContentType="application/vnd.openxmlformats-officedocument.drawing+xml"/>
  <Override PartName="/xl/ctrlProps/ctrlProp28.xml" ContentType="application/vnd.ms-excel.controlproperties+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jpeg" ContentType="image/jpeg"/>
  <Override PartName="/xl/drawings/drawing5.xml" ContentType="application/vnd.openxmlformats-officedocument.drawing+xml"/>
  <Override PartName="/xl/ctrlProps/ctrlProp17.xml" ContentType="application/vnd.ms-excel.controlproperties+xml"/>
  <Override PartName="/xl/ctrlProps/ctrlProp26.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24.xml" ContentType="application/vnd.ms-excel.control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5" yWindow="-15" windowWidth="9765" windowHeight="7695" tabRatio="953"/>
  </bookViews>
  <sheets>
    <sheet name="Mipyme Persona Jurídica " sheetId="9" r:id="rId1"/>
    <sheet name="2.1" sheetId="21" r:id="rId2"/>
    <sheet name="2.2" sheetId="22" r:id="rId3"/>
    <sheet name="2.3" sheetId="23" r:id="rId4"/>
    <sheet name="2.4" sheetId="24" r:id="rId5"/>
    <sheet name="2.5" sheetId="25" r:id="rId6"/>
    <sheet name="2.6" sheetId="26" r:id="rId7"/>
    <sheet name="2.7" sheetId="27" r:id="rId8"/>
    <sheet name="2.8" sheetId="35" r:id="rId9"/>
    <sheet name="2.9" sheetId="29" r:id="rId10"/>
    <sheet name="2.10" sheetId="30" r:id="rId11"/>
    <sheet name="2.11" sheetId="31" r:id="rId12"/>
    <sheet name="catalogo" sheetId="36" state="hidden" r:id="rId13"/>
  </sheets>
  <definedNames>
    <definedName name="_xlnm.Print_Area" localSheetId="0">'Mipyme Persona Jurídica '!$B$1:$J$208</definedName>
  </definedNames>
  <calcPr calcId="124519"/>
</workbook>
</file>

<file path=xl/calcChain.xml><?xml version="1.0" encoding="utf-8"?>
<calcChain xmlns="http://schemas.openxmlformats.org/spreadsheetml/2006/main">
  <c r="I2" i="36"/>
  <c r="G9" i="29" l="1"/>
  <c r="G10"/>
  <c r="G11"/>
  <c r="G12"/>
  <c r="E13"/>
  <c r="F13"/>
  <c r="G21"/>
  <c r="F23"/>
  <c r="E26"/>
  <c r="E6" i="27"/>
  <c r="H6"/>
  <c r="E7"/>
  <c r="F7"/>
  <c r="G17"/>
  <c r="G18"/>
  <c r="G19"/>
  <c r="F20"/>
  <c r="G20" s="1"/>
  <c r="D124" i="9"/>
  <c r="E125" s="1"/>
  <c r="G124"/>
  <c r="E129"/>
  <c r="E130"/>
  <c r="E131"/>
  <c r="D132"/>
  <c r="E132" s="1"/>
  <c r="F138"/>
  <c r="F139"/>
  <c r="F140"/>
  <c r="F141"/>
  <c r="D142"/>
  <c r="E142"/>
  <c r="E149" s="1"/>
  <c r="D150"/>
  <c r="E150" l="1"/>
  <c r="G7" i="27"/>
  <c r="F142" i="9"/>
  <c r="G141" s="1"/>
  <c r="F146"/>
  <c r="E147"/>
  <c r="G138"/>
  <c r="H142"/>
  <c r="G139"/>
  <c r="D125"/>
  <c r="F125" s="1"/>
  <c r="F24" i="29"/>
  <c r="G13"/>
  <c r="H10" s="1"/>
  <c r="F25"/>
  <c r="E148" i="9"/>
  <c r="F26" i="29"/>
  <c r="D143" i="9" l="1"/>
  <c r="E143"/>
  <c r="G140"/>
  <c r="G142" s="1"/>
  <c r="H11" i="29"/>
  <c r="I13"/>
  <c r="E14"/>
  <c r="G14" s="1"/>
  <c r="H9"/>
  <c r="F14"/>
  <c r="H12"/>
  <c r="F143" i="9" l="1"/>
  <c r="H13" i="29"/>
</calcChain>
</file>

<file path=xl/comments1.xml><?xml version="1.0" encoding="utf-8"?>
<comments xmlns="http://schemas.openxmlformats.org/spreadsheetml/2006/main">
  <authors>
    <author>gsoto</author>
  </authors>
  <commentList>
    <comment ref="C136" authorId="0">
      <text>
        <r>
          <rPr>
            <b/>
            <sz val="9"/>
            <color indexed="81"/>
            <rFont val="Tahoma"/>
            <family val="2"/>
          </rPr>
          <t>gsoto:</t>
        </r>
        <r>
          <rPr>
            <sz val="9"/>
            <color indexed="81"/>
            <rFont val="Tahoma"/>
            <family val="2"/>
          </rPr>
          <t xml:space="preserve">
Para la etapa "Idea-proyecto", el monto máximo a financiar es de $100.000; y para la etapa "Puesta en marcha" $250.000; en el cuadro adjunto se debe llenar manualnente los casilleros en blanco, registrando en la columna "Monto de financiamiento requerido al FCR" los valores a financiarse a través del FCR, mientras que en  la columna "Monto contrapartida de la entidad de derecho privado (MIPYME)" se deberán ingresar  los valores correspondientes a la contraparte, considerando las cuentas en las que se invertirá.
El porcentaje máximo de financiamiento por el FCR es del 80% sobre el total de la inverisón; mientras que la contraparte mínima requerida es del 20%</t>
        </r>
      </text>
    </comment>
  </commentList>
</comments>
</file>

<file path=xl/comments2.xml><?xml version="1.0" encoding="utf-8"?>
<comments xmlns="http://schemas.openxmlformats.org/spreadsheetml/2006/main">
  <authors>
    <author>gsoto</author>
  </authors>
  <commentList>
    <comment ref="E6" authorId="0">
      <text>
        <r>
          <rPr>
            <sz val="9"/>
            <color indexed="81"/>
            <rFont val="Tahoma"/>
            <family val="2"/>
          </rPr>
          <t xml:space="preserve">Este casillero muestra el total requerido de la inversión (monto solicitado de financiamiento a través del FCR + Monto de la Contrapartida)
</t>
        </r>
      </text>
    </comment>
    <comment ref="F6" authorId="0">
      <text>
        <r>
          <rPr>
            <sz val="9"/>
            <color indexed="81"/>
            <rFont val="Tahoma"/>
            <family val="2"/>
          </rPr>
          <t xml:space="preserve">
Se podrán financiar montos de hasta USD 100,000 para proyectos en la etapa de Idea-proyecto.</t>
        </r>
      </text>
    </comment>
    <comment ref="G6" authorId="0">
      <text>
        <r>
          <rPr>
            <sz val="9"/>
            <color indexed="81"/>
            <rFont val="Tahoma"/>
            <family val="2"/>
          </rPr>
          <t xml:space="preserve">
El valor de la contraparte del beneficiario deberá constituir como mínimo el 20% del costo total del proyecto</t>
        </r>
      </text>
    </comment>
    <comment ref="E15" authorId="0">
      <text>
        <r>
          <rPr>
            <sz val="9"/>
            <color indexed="81"/>
            <rFont val="Tahoma"/>
            <family val="2"/>
          </rPr>
          <t xml:space="preserve">En éste cuadro se deberá registrar el desgloce del monto total de inversión de la contrapartida, considerando la naturaleza de la misma.
</t>
        </r>
      </text>
    </comment>
    <comment ref="F17" authorId="0">
      <text>
        <r>
          <rPr>
            <sz val="9"/>
            <color indexed="81"/>
            <rFont val="Tahoma"/>
            <family val="2"/>
          </rPr>
          <t>- Al menos un cinco por ciento (5%) del costo total del proyecto o al menos el veinticinco por ciento (25%) del total de su inversión se debe contar en numerario (dinero en efectivo en denominación de dólares de los Estados Unidos de Norte América)</t>
        </r>
      </text>
    </comment>
    <comment ref="F20" authorId="0">
      <text>
        <r>
          <rPr>
            <sz val="9"/>
            <color indexed="81"/>
            <rFont val="Tahoma"/>
            <family val="2"/>
          </rPr>
          <t>La sumatoria obtenida en este casillero debe ser igual al monto total de la contrapartida</t>
        </r>
      </text>
    </comment>
  </commentList>
</comments>
</file>

<file path=xl/comments3.xml><?xml version="1.0" encoding="utf-8"?>
<comments xmlns="http://schemas.openxmlformats.org/spreadsheetml/2006/main">
  <authors>
    <author>gsoto</author>
  </authors>
  <commentList>
    <comment ref="E8" authorId="0">
      <text>
        <r>
          <rPr>
            <sz val="9"/>
            <color indexed="81"/>
            <rFont val="Tahoma"/>
            <family val="2"/>
          </rPr>
          <t xml:space="preserve">
Ingresar valores que serán solicitados al FCR por tipo de cuenta.</t>
        </r>
      </text>
    </comment>
    <comment ref="F8" authorId="0">
      <text>
        <r>
          <rPr>
            <sz val="9"/>
            <color indexed="81"/>
            <rFont val="Tahoma"/>
            <family val="2"/>
          </rPr>
          <t xml:space="preserve">
Ingresar los valores disponibles conmo contraparte por cuenta.</t>
        </r>
      </text>
    </comment>
    <comment ref="E13" authorId="0">
      <text>
        <r>
          <rPr>
            <sz val="9"/>
            <color indexed="10"/>
            <rFont val="Tahoma"/>
            <family val="2"/>
          </rPr>
          <t xml:space="preserve">
</t>
        </r>
        <r>
          <rPr>
            <sz val="9"/>
            <color indexed="81"/>
            <rFont val="Tahoma"/>
            <family val="2"/>
          </rPr>
          <t xml:space="preserve">La sumatoria en este casillero no se puede superar los $ 250.000 monto máximo de financiamiento del FCR. </t>
        </r>
      </text>
    </comment>
    <comment ref="F13" authorId="0">
      <text>
        <r>
          <rPr>
            <sz val="9"/>
            <color indexed="81"/>
            <rFont val="Tahoma"/>
            <family val="2"/>
          </rPr>
          <t>La sumatoria en éste casillero no puede ser inferior al 20% del total de la inversión, monto mínimo de la contraparte.</t>
        </r>
      </text>
    </comment>
    <comment ref="E23" authorId="0">
      <text>
        <r>
          <rPr>
            <sz val="9"/>
            <color indexed="81"/>
            <rFont val="Tahoma"/>
            <family val="2"/>
          </rPr>
          <t>- Al menos un cinco por ciento (5%) del costo total del proyecto o al menos el veinticinco por ciento (25%) del total de su inversión se debe contar en numerario (dinero en efectivo en denominación de dólares de los Estados Unidos de Norte América)</t>
        </r>
      </text>
    </comment>
    <comment ref="E26" authorId="0">
      <text>
        <r>
          <rPr>
            <sz val="9"/>
            <color indexed="81"/>
            <rFont val="Tahoma"/>
            <family val="2"/>
          </rPr>
          <t>La sumatoria obtenida en este casillero debe ser igual al monto total de la contrapartida</t>
        </r>
      </text>
    </comment>
  </commentList>
</comments>
</file>

<file path=xl/sharedStrings.xml><?xml version="1.0" encoding="utf-8"?>
<sst xmlns="http://schemas.openxmlformats.org/spreadsheetml/2006/main" count="388" uniqueCount="291">
  <si>
    <t>SI</t>
  </si>
  <si>
    <t>NO</t>
  </si>
  <si>
    <t>Botones Informativos</t>
  </si>
  <si>
    <t>TÍTULO DEL PROYECTO:</t>
  </si>
  <si>
    <t>INFORMACIÓN DEL POSTULANTE</t>
  </si>
  <si>
    <t>AZUAY</t>
  </si>
  <si>
    <t>BOLIVAR</t>
  </si>
  <si>
    <t>CAÑAR</t>
  </si>
  <si>
    <t>CARCHI</t>
  </si>
  <si>
    <t xml:space="preserve">CHIMBORAZO </t>
  </si>
  <si>
    <t>COTOPAXI</t>
  </si>
  <si>
    <t>NACIONALIDAD</t>
  </si>
  <si>
    <t>EL ORO</t>
  </si>
  <si>
    <t>ESMERALDAS</t>
  </si>
  <si>
    <t>DISCAPACIDAD</t>
  </si>
  <si>
    <t>GALAPAGOS</t>
  </si>
  <si>
    <t>GUAYAS</t>
  </si>
  <si>
    <t>LUGAR DE RESIDENCIA Y CONTACTO</t>
  </si>
  <si>
    <t>IMBABURA</t>
  </si>
  <si>
    <t>LOJA</t>
  </si>
  <si>
    <t xml:space="preserve">PROVINCIA </t>
  </si>
  <si>
    <t>LOS RIOS</t>
  </si>
  <si>
    <t>MANABI</t>
  </si>
  <si>
    <t>CANTÓN</t>
  </si>
  <si>
    <t>MORONA SANTIAGO</t>
  </si>
  <si>
    <t>NAPO</t>
  </si>
  <si>
    <t>PARROQUIA</t>
  </si>
  <si>
    <t>ORELLANA</t>
  </si>
  <si>
    <t>PASTAZA</t>
  </si>
  <si>
    <t>DIRECCIÓN</t>
  </si>
  <si>
    <t>PICHINCHA</t>
  </si>
  <si>
    <t>SANTA ELENA</t>
  </si>
  <si>
    <t>SANTO DOMINGO</t>
  </si>
  <si>
    <t>TELÉFONO CONVENCIONAL</t>
  </si>
  <si>
    <t>TELÉFONO CELULAR</t>
  </si>
  <si>
    <t>SUCUMBIOS</t>
  </si>
  <si>
    <t>TUNGURAHUA</t>
  </si>
  <si>
    <t>CORREO ELECTRÓNICO ALTERNATIVO:</t>
  </si>
  <si>
    <t>ZAMORA CHINCHIPE</t>
  </si>
  <si>
    <t>ACTIVIDAD ECONÓMICA</t>
  </si>
  <si>
    <t>TAMAÑO DE LA EMPRESA</t>
  </si>
  <si>
    <t>MICRO EMPRESA</t>
  </si>
  <si>
    <t>PEQUEÑA EMPRESA</t>
  </si>
  <si>
    <t>¿EN LISTA DE MOROSIDAD?</t>
  </si>
  <si>
    <t>FECHA DE ÚLTIMA DECLARACIÓN</t>
  </si>
  <si>
    <t>MEDIANA EMPRESA</t>
  </si>
  <si>
    <t>ESTADO TRIBUTARIO</t>
  </si>
  <si>
    <t>OBLIGACIONES PENDIENTES CON EL IESS</t>
  </si>
  <si>
    <t>¿ESTÁ REGISTRADO COMO CONTRATISTA INCUMPLIDO O ADJUDICATARIO FALLIDO CON EL ESTADO?</t>
  </si>
  <si>
    <t>¿TIENE RUM? (Registro Único Mipymes)</t>
  </si>
  <si>
    <t>¿TIENE RUA? (Registro Único Artesanal)</t>
  </si>
  <si>
    <t>INFORMACIÓN BÁSICA DEL PROYECTO</t>
  </si>
  <si>
    <t>ETAPA DE LA INVERSIÓN</t>
  </si>
  <si>
    <t>IDEA - PROYECTO</t>
  </si>
  <si>
    <t>PUESTA EN MARCHA</t>
  </si>
  <si>
    <t>INDUSTRIA PRIORIZADA PRINCIPAL A LA QUE PERTENECE EL PROYECTO</t>
  </si>
  <si>
    <t>1) ALIMENTOS FRESCOS Y PROCESADOS</t>
  </si>
  <si>
    <t>2) BIOTECNOLOGÍA (BIOQUÍMICA Y BIOMEDICINA)</t>
  </si>
  <si>
    <t>INDUSTRIA PRIORIZADA SECUNDARIA CON LA QUE SE RELACIONA EL PROYECTO</t>
  </si>
  <si>
    <t>3) CONFECCIONES Y CALZADO</t>
  </si>
  <si>
    <t>4) ENERGÍAS RENOVABLES</t>
  </si>
  <si>
    <t>1)    ALIMENTOS FRESCOS Y PROCESADOS</t>
  </si>
  <si>
    <t>5) INDUSTRIA FARMACÉUTICA</t>
  </si>
  <si>
    <t>2)   BIOTECNOLOGÍA (BIOQUÍMICA Y BIOMEDICINA)</t>
  </si>
  <si>
    <t>6) METALMECÁNICA</t>
  </si>
  <si>
    <t>3)   CONFECCIONES Y CALZADO</t>
  </si>
  <si>
    <t>7) PETROQUÍMICA</t>
  </si>
  <si>
    <t>8) PRODUCTOS FORESTALES DE MADERA</t>
  </si>
  <si>
    <t>9) SERVICIOS AMBIENTALES</t>
  </si>
  <si>
    <t>10) TECNOLOGÍA (SOFTWARE, HARDWARE Y SERVICIOS INFORMÁTICOS)</t>
  </si>
  <si>
    <t>11) VEHÍCULOS, AUTOMOTORES, CARROCERÍAS Y PARTES</t>
  </si>
  <si>
    <t>12) CONSTRUCCIÓN</t>
  </si>
  <si>
    <t>13) TRANSPORTE Y LOGÍSTICA</t>
  </si>
  <si>
    <t>14) TURISMO</t>
  </si>
  <si>
    <t>EL RESULTADO DEL PROYECTO DE INNOVACIÓN PRODUCTIVA INTRODUCE AL MERCADO UN NUEVO…..</t>
  </si>
  <si>
    <t>BIEN</t>
  </si>
  <si>
    <t>SERVICIO</t>
  </si>
  <si>
    <t>PROCESO PRODUCTIVO</t>
  </si>
  <si>
    <t>DESCRIPCIÓN DEL PROBLEMA U OPORTUNIDAD.</t>
  </si>
  <si>
    <t>500 caracteres</t>
  </si>
  <si>
    <t>¿CÓMO EL PROYECTO INNOVADOR RESUELVE EL PROBLEMA O APROVECHA LA OPORTUNIDAD?</t>
  </si>
  <si>
    <t>DESCRIPCIÓN DEL BIEN, SERVICIO O PROCESO PRODUCTIVO.</t>
  </si>
  <si>
    <t>NUEVO PARA LA ORGANIZACIÓN</t>
  </si>
  <si>
    <t>NUEVO PARA EL SECTOR PRODUCTIVO</t>
  </si>
  <si>
    <t>NUEVO PARA EL MERCADO</t>
  </si>
  <si>
    <t>NUEVO PARA EL MUNDO</t>
  </si>
  <si>
    <t>¿CUÁL ES EL GRADO DE NOVEDAD DE LA INNOVACIÓN DE SU PROYECTO?</t>
  </si>
  <si>
    <t>LOCAL</t>
  </si>
  <si>
    <t>REGIONAL</t>
  </si>
  <si>
    <t>¿QUÉ ALCANCE TIENE LA INNOVACIÓN DE SU PROYECTO?</t>
  </si>
  <si>
    <t>NACIONAL</t>
  </si>
  <si>
    <t>INTERNACIONAL</t>
  </si>
  <si>
    <t>FACTORES O CIRCUNSTANCIAS CRÍTICAS</t>
  </si>
  <si>
    <t>200 Caracteres</t>
  </si>
  <si>
    <t>INFORMACIÓN DE LA INVERSIÓN</t>
  </si>
  <si>
    <t xml:space="preserve">IDEA PROYECTO </t>
  </si>
  <si>
    <t xml:space="preserve">Monto total requerido </t>
  </si>
  <si>
    <t>Monto máximo de financiamiento a través del FCR</t>
  </si>
  <si>
    <t>Monto mínimo de contrapartida de la entidad de derecho privado (MIPYME)</t>
  </si>
  <si>
    <t>TOTAL INVERSIÓN</t>
  </si>
  <si>
    <t>% DEL TOTAL</t>
  </si>
  <si>
    <t>DETALLE</t>
  </si>
  <si>
    <t>TOTAL</t>
  </si>
  <si>
    <t>%</t>
  </si>
  <si>
    <t>ACTIVO TANGIBLE</t>
  </si>
  <si>
    <t>ACTIVO INTANGIBLE</t>
  </si>
  <si>
    <t>Inversión (cuadro general)</t>
  </si>
  <si>
    <t>Cuenta</t>
  </si>
  <si>
    <t>Monto de financiamiento requerido al FCR</t>
  </si>
  <si>
    <t>Monto contrapartida de la entidad de derecho privado (MIPYME)</t>
  </si>
  <si>
    <t>Total</t>
  </si>
  <si>
    <t>% del Total</t>
  </si>
  <si>
    <t>Terrenos,  edificios e infraestructura</t>
  </si>
  <si>
    <t>Equipos diversos (Maquinarias, Vehículos, Herramientas, Mobiliario etc..)</t>
  </si>
  <si>
    <t>Inversión Diferida en general (puesta en marcha, licencias y patentes, asistencia y asesoría, contingencias otros gastos)</t>
  </si>
  <si>
    <t>Capital de trabajo</t>
  </si>
  <si>
    <t>Total inversiones</t>
  </si>
  <si>
    <t>ENLACE WEB DEL PROYECTO</t>
  </si>
  <si>
    <t>ENLACE FACEBOOK DEL PROYECTO</t>
  </si>
  <si>
    <t>VIDEO PITCH</t>
  </si>
  <si>
    <t>¿HA RECIBIDO OTROS BENEFICIOS DE APOYO A PROYECTOS POR PARTE ENTIDADES PÚBLICAS Y/O PRIVADAS?</t>
  </si>
  <si>
    <t>Programa</t>
  </si>
  <si>
    <t>Institución a cargo del programa</t>
  </si>
  <si>
    <t>Tipo de beneficio (monetario, asistencia técnica, etc)</t>
  </si>
  <si>
    <t>Descripción del beneficio (monto, tipo de ayuda, etc)</t>
  </si>
  <si>
    <t>Fecha de participación</t>
  </si>
  <si>
    <t>Fecha entrega del beneficio</t>
  </si>
  <si>
    <t>Resultado del proyecto (Qué resultados se obtuvieron del beneficio recibido resultados económicos, productivos, de mercados Etc.</t>
  </si>
  <si>
    <t>Fecha de inicio (dd/mm/aaaa)</t>
  </si>
  <si>
    <t>Fecha de fin (dd/mm/aaaa)</t>
  </si>
  <si>
    <t>¿EXISTE VINCULACIÓN CON OTRAS EMPRESAS?</t>
  </si>
  <si>
    <t>RELACIONES DE PROPIEDAD</t>
  </si>
  <si>
    <t>Razón Social</t>
  </si>
  <si>
    <t xml:space="preserve"> RUC</t>
  </si>
  <si>
    <t>Vinculación (accionaria, representación legal, etc)</t>
  </si>
  <si>
    <t>% de participación (en caso de aplicar)</t>
  </si>
  <si>
    <t>SU PROYECTO SE ENCUENTRA LISTO PARA LA EVALUACIÓN TÉCNICA - ECONÓMICA?</t>
  </si>
  <si>
    <t>RUC</t>
  </si>
  <si>
    <t>RAZÓN SOCIAL</t>
  </si>
  <si>
    <t>NOMBRE COMERCIAL</t>
  </si>
  <si>
    <t>NOMBRE DE REPRESENTANTE LEGAL</t>
  </si>
  <si>
    <t>CORREO ELECRÓNICO</t>
  </si>
  <si>
    <t>CORREO ELECTRÓNICO ALTERNATIVO</t>
  </si>
  <si>
    <t>CERTIFICACIÓN DE BUENAS PRÁCTICAS DE MANUFACTURA</t>
  </si>
  <si>
    <t>ISO 9001</t>
  </si>
  <si>
    <t>ISO 14001</t>
  </si>
  <si>
    <t>ISO 18001</t>
  </si>
  <si>
    <t>CUÁL ES EL GRADO DE NOVEDAD DE LA INNOVACIÓN DE SU PROYECTO?</t>
  </si>
  <si>
    <t>QUE ALCANCE TIENE LA INNOVACIÓN DE SU PROYECTO?</t>
  </si>
  <si>
    <t>INDICAR LOS IMPACTOS INTERNOS ESPERADOS COMO RESULTADO DEL PROYECTO EN AQUELLOS RUBROS QUE CORRESPONDAN (SE PODRÁ ESCOGER MÁS DE UNA OPCIÓN Y ES INDISPENSABLE QUE AL MENOS SE SELECCIONE UNA OPCIÓN):</t>
  </si>
  <si>
    <t>Aumento de Producción/ventas</t>
  </si>
  <si>
    <t>Incremento de Ingreso</t>
  </si>
  <si>
    <t>Mejora en la calidad</t>
  </si>
  <si>
    <t>Mejora de Productividad</t>
  </si>
  <si>
    <t>Reducción de costos de producción</t>
  </si>
  <si>
    <t>Mejora en la transferencia de tecnología</t>
  </si>
  <si>
    <t>INDICAR LOS IMPACTOS ECONÓMICO ESPERADOS COMO RESULTADO DEL PROYECTO EN AQUELLOS RUBROS QUE CORRESPONDAN (SE PODRÁ ESCOGER MÁS DE UNA OPCIÓN Y ES INDISPENSABLE QUE AL MENOS SE SELECCIONE UNA OPCIÓN):</t>
  </si>
  <si>
    <t>Generación de empleo</t>
  </si>
  <si>
    <t>Encadenamiento productivo</t>
  </si>
  <si>
    <t>Valor agregado (proceso productivo de materias primas)</t>
  </si>
  <si>
    <t>Sustitución de importaciones</t>
  </si>
  <si>
    <t>Inversión extranjera directa (IED)</t>
  </si>
  <si>
    <t>Exportaciones</t>
  </si>
  <si>
    <t>Competitividad</t>
  </si>
  <si>
    <t>Desarrollo local</t>
  </si>
  <si>
    <t>Generación de impuestos</t>
  </si>
  <si>
    <t>EJEMPLO:</t>
  </si>
  <si>
    <t>LATACUNGA</t>
  </si>
  <si>
    <t>LA MATRIZ</t>
  </si>
  <si>
    <t>DAFO34W@YAHOO.ES</t>
  </si>
  <si>
    <t>123ALFA3@GMAIL.COM</t>
  </si>
  <si>
    <t>Valor de ventas o ingresos brutos anuales entre un millón uno (USD 1´000.001,00) y cinco millones (USD 5´000.000,00) de dólares de los Estados Unidos de América.</t>
  </si>
  <si>
    <t>50 a 199 trabajadores</t>
  </si>
  <si>
    <t>Mediana Empresa</t>
  </si>
  <si>
    <t>10 a 49 trabajadores</t>
  </si>
  <si>
    <t>Pequeña Empresa</t>
  </si>
  <si>
    <t>1 a 9 trabajadores</t>
  </si>
  <si>
    <t>Micro Empresa</t>
  </si>
  <si>
    <t>Monto</t>
  </si>
  <si>
    <t>No. De trabajadores</t>
  </si>
  <si>
    <t>Clasificación</t>
  </si>
  <si>
    <t>Indicar los principales factores y hechos que podrían poner en peligro la posibilidad de éxito en el logro de los objetivos del proyecto.</t>
  </si>
  <si>
    <t>Breve descripción del concepto básico de las características y funcionalidades del producto (bien, servicio) o proceso innovador resultado del proyecto.</t>
  </si>
  <si>
    <t>Describir  la solución y los cambios que el proyecto innovador brinda en beneficio de resolver el problema o aprovechar la oportunidad.</t>
  </si>
  <si>
    <t>Delimitar el alcance que tiene el problema u oportunidad en el tiempo y espacio, esto es si afecta o se circunscribe a un territorio  y la temporalidad del mismo.</t>
  </si>
  <si>
    <t>Describir el problema u oportunidad que se pretende resolver o aprovechar a través del proyecto.</t>
  </si>
  <si>
    <t>DESCRIPCIÓN:</t>
  </si>
  <si>
    <t xml:space="preserve">No serán considerados como gastos aceptables los siguientes:
a) Gastos generales y de administración de los beneficiarios (no inherentes a la ejecución del proyecto).
b) Cancelación de deudas, pago de dividendos o recuperaciones de capital.
c) Transferencias de activos: adquisición de acciones, participaciones en el capital social, otros valores mobiliarios, etc.
d) Pago de cesantías.
e) Inversiones en capital de trabajo y bienes de uso, con excepción de las que sean calificadas por el operador como imprescindibles para la ejecución del proyecto.
f) Compras o alquiler de inmuebles.
g) Contribuciones en especie.
h) Retiros de socios y pagos de honorarios por asamblea.
i) Retiro de socios, sueldos, vacaciones y décimos, dividendos.
j) Gastos correspondientes al pago del IVA.
k) Todo otro gasto o inversión innecesarios, calificados como tales por el operador, para el logro de los resultados previos en el proyecto.
Los emprendimientos innovadores deberán reflejar, dentro de su contabilidad, el destino de los recursos invertidos por el Fideicomiso
</t>
  </si>
  <si>
    <t xml:space="preserve">Los recursos económicos asignados a los emprendimientos innovadores podrán financiar los gastos relacionados estrictamente con la ejecución del proyecto, los cuales se listan a continuación:
a) Personal de dirección, investigación y de apoyo técnico para la ejecución del proyecto. En todos los casos, el personal debe acreditar competencia para la realización del proyecto.
b) Equipamiento imprescindible requerido, calificado por el operador, para la ejecución del proyecto (bienes de capital). 
c) Capacitación y reentrenamiento de recursos humano relacionados con las actividades del proyecto.
d) Adquisición de licencias de tecnología necesarias como parte del desarrollo tecnológico a realizar.
e) Alquiler de maquinaria específica.
f) Insumos y/o materiales necesarios para la ejecución del proyecto: 
a.  Adquisición de bienes, incluso bienes nacionales, usados o importados.
b. Adquisición de bienes importados.
g) Construcción de instalaciones específicas o remodelaciones necesarias para la ejecución del proyecto.
h) Diseño de web, packaing y manuales.
i) Otros gastos relacionados con la ejecución del proyecto considerados como necesarios en el dictamen técnico – económico.
La programación e imputación de gastos generados por las actividades de financiamiento solicitadas se realizará sobre la base de los costos reales y demostrables.  Los gastos presupuestados, no deberán incluir IVA.
</t>
  </si>
  <si>
    <t>GASTOS NO ELEGIBLES</t>
  </si>
  <si>
    <t>GASTOS  ELEGIBLES</t>
  </si>
  <si>
    <t>INSTRUCCIONES PARA EL ENVIO</t>
  </si>
  <si>
    <t>El video no deberá exceder de 10MB y deberá estar grabado en formato MP4.</t>
  </si>
  <si>
    <t>FORMATO Y TAMAÑO</t>
  </si>
  <si>
    <t>CONTENIDO</t>
  </si>
  <si>
    <t>INSTRUCCIONES</t>
  </si>
  <si>
    <t>En caso de responder "No", su proyecto tendrá la posibilidad de entrar en proceso de acompañamiento con el Operador para fortalecer el Plan de Negocios previo a la evaluación técnica - económica.</t>
  </si>
  <si>
    <t>ECUATORIANA</t>
  </si>
  <si>
    <t>CARLOS ALFREDO CASTRO VILLALVA</t>
  </si>
  <si>
    <t>ARSICOM S.A.</t>
  </si>
  <si>
    <r>
      <t>Si usted respondió "SI" descargue el formato de Plan de Negocios que se encuentra en el micrositio "</t>
    </r>
    <r>
      <rPr>
        <sz val="11"/>
        <color indexed="10"/>
        <rFont val="Calibri"/>
        <family val="2"/>
      </rPr>
      <t>fondodecapitalderiesgo.industrias.gob.ec</t>
    </r>
    <r>
      <rPr>
        <sz val="11"/>
        <color theme="1"/>
        <rFont val="Calibri"/>
        <family val="2"/>
        <scheme val="minor"/>
      </rPr>
      <t>"; botón "</t>
    </r>
    <r>
      <rPr>
        <sz val="11"/>
        <color indexed="10"/>
        <rFont val="Calibri"/>
        <family val="2"/>
      </rPr>
      <t>Regístrate</t>
    </r>
    <r>
      <rPr>
        <sz val="11"/>
        <color theme="1"/>
        <rFont val="Calibri"/>
        <family val="2"/>
        <scheme val="minor"/>
      </rPr>
      <t xml:space="preserve">"  y llénelo; envíelo conjuntamente con este formulario debidamente lleno mas el video pitch siguiendo las instrucciones para su envío al correo: </t>
    </r>
    <r>
      <rPr>
        <u/>
        <sz val="11"/>
        <color indexed="62"/>
        <rFont val="Calibri"/>
        <family val="2"/>
      </rPr>
      <t>fondodecapitalderiesgo@mipro.gob.ec</t>
    </r>
    <r>
      <rPr>
        <sz val="11"/>
        <color theme="1"/>
        <rFont val="Calibri"/>
        <family val="2"/>
        <scheme val="minor"/>
      </rPr>
      <t xml:space="preserve">
Si usted respondió "NO" únicamente envíe este formulario debidamente lleno conjuntamente con el video pitch siguiendo las instrucciones para su envío al correo: </t>
    </r>
    <r>
      <rPr>
        <u/>
        <sz val="11"/>
        <color indexed="62"/>
        <rFont val="Calibri"/>
        <family val="2"/>
      </rPr>
      <t xml:space="preserve"> fondodecapitalderiesgo@mipro.gob.ec</t>
    </r>
  </si>
  <si>
    <t xml:space="preserve">En caso de responder "SI", su proyecto tendrá la posibilidad de pasar directamente a ser evaluado por el Operador, de lo cual se determinará la factibilidad de inversión. (Tiempo duración del proceso 2 meses). 
</t>
  </si>
  <si>
    <r>
      <t xml:space="preserve"> </t>
    </r>
    <r>
      <rPr>
        <b/>
        <sz val="11"/>
        <color theme="1"/>
        <rFont val="Calibri"/>
        <family val="2"/>
        <scheme val="minor"/>
      </rPr>
      <t>- Idea – proyecto:</t>
    </r>
    <r>
      <rPr>
        <sz val="11"/>
        <color theme="1"/>
        <rFont val="Calibri"/>
        <family val="2"/>
        <scheme val="minor"/>
      </rPr>
      <t xml:space="preserve"> Se refiere a los proyectos formulados para el desarrollo de un proceso innovador, de un prototipo y/o  producto mínimo viable de un bien o servicio resultado de la propuesta, así como también para la elaboración del correspondiente plan de negocios. 
</t>
    </r>
    <r>
      <rPr>
        <b/>
        <sz val="11"/>
        <color theme="1"/>
        <rFont val="Calibri"/>
        <family val="2"/>
        <scheme val="minor"/>
      </rPr>
      <t xml:space="preserve">
- Puesta en marcha: </t>
    </r>
    <r>
      <rPr>
        <sz val="11"/>
        <color theme="1"/>
        <rFont val="Calibri"/>
        <family val="2"/>
        <scheme val="minor"/>
      </rPr>
      <t>Se refiere a los proyectos formulados para iniciar con la fase de producción, distribución y/o comercialización del bien o servicio, así como para la implementación de uno o más procesos innovadores. El objetivo de estas inversiones es el de generar el impulso para iniciar el ciclo productivo.</t>
    </r>
  </si>
  <si>
    <r>
      <rPr>
        <b/>
        <sz val="11"/>
        <color theme="1"/>
        <rFont val="Calibri"/>
        <family val="2"/>
        <scheme val="minor"/>
      </rPr>
      <t>Nuevo para la organización.-</t>
    </r>
    <r>
      <rPr>
        <sz val="11"/>
        <color theme="1"/>
        <rFont val="Calibri"/>
        <family val="2"/>
        <scheme val="minor"/>
      </rPr>
      <t xml:space="preserve"> Únicamente dentro dela organización.
</t>
    </r>
    <r>
      <rPr>
        <b/>
        <sz val="11"/>
        <color theme="1"/>
        <rFont val="Calibri"/>
        <family val="2"/>
        <scheme val="minor"/>
      </rPr>
      <t>Nuevo para el sector productivo.-</t>
    </r>
    <r>
      <rPr>
        <sz val="11"/>
        <color theme="1"/>
        <rFont val="Calibri"/>
        <family val="2"/>
        <scheme val="minor"/>
      </rPr>
      <t xml:space="preserve"> Si la innovación es nueva para el sector en el cual se desarrolla el proyecto (sectores priorizados)
</t>
    </r>
    <r>
      <rPr>
        <b/>
        <sz val="11"/>
        <color theme="1"/>
        <rFont val="Calibri"/>
        <family val="2"/>
        <scheme val="minor"/>
      </rPr>
      <t xml:space="preserve">Nuevo para el mercado.- </t>
    </r>
    <r>
      <rPr>
        <sz val="11"/>
        <color theme="1"/>
        <rFont val="Calibri"/>
        <family val="2"/>
        <scheme val="minor"/>
      </rPr>
      <t xml:space="preserve">Si la innovación no se encuentra en el mercado actual.
</t>
    </r>
    <r>
      <rPr>
        <b/>
        <sz val="11"/>
        <color theme="1"/>
        <rFont val="Calibri"/>
        <family val="2"/>
        <scheme val="minor"/>
      </rPr>
      <t>Nuevo para el mundo.</t>
    </r>
    <r>
      <rPr>
        <sz val="11"/>
        <color theme="1"/>
        <rFont val="Calibri"/>
        <family val="2"/>
        <scheme val="minor"/>
      </rPr>
      <t>- Si esa innovación no existe en el mundo.</t>
    </r>
  </si>
  <si>
    <t>2.- Selecciona el videopitch dentro de los archivos de tu computador:</t>
  </si>
  <si>
    <t>1.-  Despues de haber grabado el videopitch, abrir la página web: "www.wetransfer.com" y da click en:</t>
  </si>
  <si>
    <r>
      <t xml:space="preserve">3.- Ingresa el correo electrónico </t>
    </r>
    <r>
      <rPr>
        <sz val="11"/>
        <color theme="3" tint="0.39997558519241921"/>
        <rFont val="Calibri"/>
        <family val="2"/>
        <scheme val="minor"/>
      </rPr>
      <t>fondodecapitalderiesgo@mipro.gob.ec</t>
    </r>
  </si>
  <si>
    <t>4.- ingresa tu correo electrónico:</t>
  </si>
  <si>
    <t>5.- En el mensaje escribe tu nombre completo y el RUC o RISE</t>
  </si>
  <si>
    <t>6.- Envía el correo</t>
  </si>
  <si>
    <t>7.- Una vez que hayas enviado el videopitch, abre tu correo electrónico y busca la notificación de envío de wetransfer en tu buzón de entrada, copia el enlace de descarga</t>
  </si>
  <si>
    <t>VIDEO PITCH     (copiar enlace)</t>
  </si>
  <si>
    <t>¿SE ENCUENTRA AL DÍA CON LAS OBLIGACIONES EN LA SUPERINTENDENCIA DE COMPAÑIAS, VALORES Y SEGUROS?</t>
  </si>
  <si>
    <t>¿QUÉ TAN GRANDE ES EL PROBLEMA U OPORTUNIDAD?</t>
  </si>
  <si>
    <r>
      <rPr>
        <b/>
        <sz val="11"/>
        <color theme="1"/>
        <rFont val="Calibri"/>
        <family val="2"/>
        <scheme val="minor"/>
      </rPr>
      <t>Vinculación con Empresas.-</t>
    </r>
    <r>
      <rPr>
        <sz val="11"/>
        <color theme="1"/>
        <rFont val="Calibri"/>
        <family val="2"/>
        <scheme val="minor"/>
      </rPr>
      <t xml:space="preserve">  Es la participación que tiene una persona natural o jurídica sobre los derechos del capital de una empresa.
Léase: Bases del Programa Mipymes. 3.1 Criterios de Evaluación.</t>
    </r>
  </si>
  <si>
    <t>INFORMACIÓN DEL ESTADO DEL POSTULANTE</t>
  </si>
  <si>
    <t>CALLE GUAYAQUIL Y PADRE SALCEDO 34-56, FRENTE AL COLEGIO DE ABOGADOS DE COTOPAXI</t>
  </si>
  <si>
    <t xml:space="preserve">PALMA </t>
  </si>
  <si>
    <t>Valor de ventas o ingresos brutos anuales iguales o menores de trescientos mil (USD 300.000,00) dólares de los Estados Unidos de América.</t>
  </si>
  <si>
    <t>Valor de ventas o ingresos brutos anuales entre trescientos mil uno (USD 300.001,00) y un millón (USD 1´000.000,00) de dólares de los Estados Unidos de América.</t>
  </si>
  <si>
    <t>Anotar la misma actividad económica principal del RUC o RISE.</t>
  </si>
  <si>
    <t xml:space="preserve">Se debe seleccionar el tamaño de la empresa  de acuerdo al Registro único de Mipymes </t>
  </si>
  <si>
    <t>Identifique en la lista desplegable el resultado introducido al mercado de acuerdo a las siguientes definiciones:
- El bien por lo general es un objeto  tangible producido o fabricado mediante un proceso para el consumo o uso de las personas.
- El servicio es el conjunto de actividades que buscan satisfacer las necesidades de un cliente. El servicio suele ser intangible.
- El proceso productivo es la secuencia de actividades requeridas para elaborar bienes o brindar servicios.</t>
  </si>
  <si>
    <r>
      <rPr>
        <b/>
        <sz val="11"/>
        <color theme="1"/>
        <rFont val="Calibri"/>
        <family val="2"/>
        <scheme val="minor"/>
      </rPr>
      <t>Local.-</t>
    </r>
    <r>
      <rPr>
        <sz val="11"/>
        <color theme="1"/>
        <rFont val="Calibri"/>
        <family val="2"/>
        <scheme val="minor"/>
      </rPr>
      <t xml:space="preserve"> Dentro de la ciudad o provincia.
</t>
    </r>
    <r>
      <rPr>
        <b/>
        <sz val="11"/>
        <color theme="1"/>
        <rFont val="Calibri"/>
        <family val="2"/>
        <scheme val="minor"/>
      </rPr>
      <t xml:space="preserve">Regional.- </t>
    </r>
    <r>
      <rPr>
        <sz val="11"/>
        <color theme="1"/>
        <rFont val="Calibri"/>
        <family val="2"/>
        <scheme val="minor"/>
      </rPr>
      <t xml:space="preserve">Dentro de las regiones naturales (costa, sierra, oriente, insular) o las zonas administrativas de planificación de SENPLADES
</t>
    </r>
    <r>
      <rPr>
        <b/>
        <sz val="11"/>
        <color theme="1"/>
        <rFont val="Calibri"/>
        <family val="2"/>
        <scheme val="minor"/>
      </rPr>
      <t>Nacional.-</t>
    </r>
    <r>
      <rPr>
        <sz val="11"/>
        <color theme="1"/>
        <rFont val="Calibri"/>
        <family val="2"/>
        <scheme val="minor"/>
      </rPr>
      <t xml:space="preserve"> Dentro de los límites de la República del Ecuador
</t>
    </r>
    <r>
      <rPr>
        <b/>
        <sz val="11"/>
        <color theme="1"/>
        <rFont val="Calibri"/>
        <family val="2"/>
        <scheme val="minor"/>
      </rPr>
      <t>Internacional.-</t>
    </r>
    <r>
      <rPr>
        <sz val="11"/>
        <color theme="1"/>
        <rFont val="Calibri"/>
        <family val="2"/>
        <scheme val="minor"/>
      </rPr>
      <t xml:space="preserve"> Fuera de los límites de la República del Ecuador.</t>
    </r>
  </si>
  <si>
    <t>NUMERARIO</t>
  </si>
  <si>
    <r>
      <rPr>
        <b/>
        <sz val="11"/>
        <color indexed="8"/>
        <rFont val="Calibri"/>
        <family val="2"/>
      </rPr>
      <t>* Antes de llenar las tablas revisar los gastos elegibles y no elegibles
DEFINICIONES:</t>
    </r>
    <r>
      <rPr>
        <sz val="11"/>
        <color theme="1"/>
        <rFont val="Calibri"/>
        <family val="2"/>
        <scheme val="minor"/>
      </rPr>
      <t xml:space="preserve">
</t>
    </r>
    <r>
      <rPr>
        <b/>
        <sz val="11"/>
        <color indexed="8"/>
        <rFont val="Calibri"/>
        <family val="2"/>
      </rPr>
      <t>Monto de financiamiento requerido FCR.-</t>
    </r>
    <r>
      <rPr>
        <sz val="11"/>
        <color theme="1"/>
        <rFont val="Calibri"/>
        <family val="2"/>
        <scheme val="minor"/>
      </rPr>
      <t xml:space="preserve"> Valores de la inversión requerida desglosadas por tipo de cuenta.
</t>
    </r>
    <r>
      <rPr>
        <b/>
        <sz val="11"/>
        <color indexed="8"/>
        <rFont val="Calibri"/>
        <family val="2"/>
      </rPr>
      <t xml:space="preserve">Monto contrapartida de la entidad de derecho privado (MIPYME).- </t>
    </r>
    <r>
      <rPr>
        <sz val="11"/>
        <color theme="1"/>
        <rFont val="Calibri"/>
        <family val="2"/>
        <scheme val="minor"/>
      </rPr>
      <t xml:space="preserve">Montos disponibles por la contraparte para invertir en el proyecto (recursos propios) desglosados por tipo de cuenta.
</t>
    </r>
    <r>
      <rPr>
        <b/>
        <sz val="11"/>
        <color indexed="8"/>
        <rFont val="Calibri"/>
        <family val="2"/>
      </rPr>
      <t>Inversión Diferida.-</t>
    </r>
    <r>
      <rPr>
        <sz val="11"/>
        <color theme="1"/>
        <rFont val="Calibri"/>
        <family val="2"/>
        <scheme val="minor"/>
      </rPr>
      <t xml:space="preserve"> Se refiere a egresos de dinero en etapas previas a la implementación del proyecto, esta constituida por bienes o servicios intangibles caracterizados por ser inmateriales y no estar sujetos a desgaste físico. 
</t>
    </r>
    <r>
      <rPr>
        <b/>
        <sz val="11"/>
        <color indexed="8"/>
        <rFont val="Calibri"/>
        <family val="2"/>
      </rPr>
      <t xml:space="preserve">
Capital de trabajo.</t>
    </r>
    <r>
      <rPr>
        <sz val="11"/>
        <color theme="1"/>
        <rFont val="Calibri"/>
        <family val="2"/>
        <scheme val="minor"/>
      </rPr>
      <t xml:space="preserve">- Se considera como aquellos recursos que requiere la empresa para poder operar. En este sentido el capital de trabajo es lo que comúnmente conocemos como activo corriente (efectivo, inversiones a corto plazo, cartera e inventarios).
</t>
    </r>
    <r>
      <rPr>
        <b/>
        <sz val="11"/>
        <color indexed="8"/>
        <rFont val="Calibri"/>
        <family val="2"/>
      </rPr>
      <t xml:space="preserve">
Numerario.- </t>
    </r>
    <r>
      <rPr>
        <sz val="11"/>
        <color theme="1"/>
        <rFont val="Calibri"/>
        <family val="2"/>
        <scheme val="minor"/>
      </rPr>
      <t xml:space="preserve">Dinero en efectivo en denominación de dólares de los Estados Unidos de Norte América.
</t>
    </r>
    <r>
      <rPr>
        <b/>
        <sz val="11"/>
        <color indexed="8"/>
        <rFont val="Calibri"/>
        <family val="2"/>
      </rPr>
      <t xml:space="preserve">
Activo Tangible.-</t>
    </r>
    <r>
      <rPr>
        <sz val="11"/>
        <color theme="1"/>
        <rFont val="Calibri"/>
        <family val="2"/>
        <scheme val="minor"/>
      </rPr>
      <t xml:space="preserve"> Contraparte en bienes tangibles como edificios, terrenos, vehículos, maquinaria, inventario u otros. La contraparte en especie deberá ser propiedad de la entidad de derecho privado, y deberá servir para el desarrollo del proyecto. 
</t>
    </r>
    <r>
      <rPr>
        <b/>
        <sz val="11"/>
        <color indexed="8"/>
        <rFont val="Calibri"/>
        <family val="2"/>
      </rPr>
      <t xml:space="preserve">Activo Intangible.- </t>
    </r>
    <r>
      <rPr>
        <sz val="11"/>
        <color theme="1"/>
        <rFont val="Calibri"/>
        <family val="2"/>
        <scheme val="minor"/>
      </rPr>
      <t>Contraparte en bienes intangibles como derechos de llaves, marcas, patentes, Know how, etc., los cuales deberán ser valorados conforme la normativa establecida por el Servicio Nacional de Derechos Intelectuales (Senadi).</t>
    </r>
  </si>
  <si>
    <r>
      <rPr>
        <b/>
        <sz val="11"/>
        <color indexed="8"/>
        <rFont val="Calibri"/>
        <family val="2"/>
      </rPr>
      <t>* Antes de llenar las tablas revisar los gastos elegibles y no elegibles
DEFINICIONES:</t>
    </r>
    <r>
      <rPr>
        <sz val="11"/>
        <color theme="1"/>
        <rFont val="Calibri"/>
        <family val="2"/>
        <scheme val="minor"/>
      </rPr>
      <t xml:space="preserve">
</t>
    </r>
    <r>
      <rPr>
        <b/>
        <sz val="11"/>
        <color indexed="8"/>
        <rFont val="Calibri"/>
        <family val="2"/>
      </rPr>
      <t>Monto Total Requerido.-</t>
    </r>
    <r>
      <rPr>
        <sz val="11"/>
        <color theme="1"/>
        <rFont val="Calibri"/>
        <family val="2"/>
        <scheme val="minor"/>
      </rPr>
      <t xml:space="preserve"> Valor total de la inversión (sumatoria del financiamiento del FCR más el monto de la contrapartida)
</t>
    </r>
    <r>
      <rPr>
        <b/>
        <sz val="11"/>
        <color indexed="8"/>
        <rFont val="Calibri"/>
        <family val="2"/>
      </rPr>
      <t>Monto máximo de Financiamiento a través del FCR.-</t>
    </r>
    <r>
      <rPr>
        <sz val="11"/>
        <color theme="1"/>
        <rFont val="Calibri"/>
        <family val="2"/>
        <scheme val="minor"/>
      </rPr>
      <t xml:space="preserve"> Monto que se requiere solicitar al FCR.
</t>
    </r>
    <r>
      <rPr>
        <b/>
        <sz val="11"/>
        <color indexed="8"/>
        <rFont val="Calibri"/>
        <family val="2"/>
      </rPr>
      <t xml:space="preserve">
Monto Mínimo de contrapartida de la entidad de derecho privado (Mipyme).-</t>
    </r>
    <r>
      <rPr>
        <sz val="11"/>
        <color theme="1"/>
        <rFont val="Calibri"/>
        <family val="2"/>
        <scheme val="minor"/>
      </rPr>
      <t xml:space="preserve"> Monto disponible de la contraparte para invertir en el proyecto (recursos propios).
</t>
    </r>
    <r>
      <rPr>
        <b/>
        <sz val="11"/>
        <color indexed="8"/>
        <rFont val="Calibri"/>
        <family val="2"/>
      </rPr>
      <t>Numerario.-</t>
    </r>
    <r>
      <rPr>
        <sz val="11"/>
        <color theme="1"/>
        <rFont val="Calibri"/>
        <family val="2"/>
        <scheme val="minor"/>
      </rPr>
      <t xml:space="preserve"> Dinero en efectivo en denominación de dólares de los Estados Unidos de Norte América.
</t>
    </r>
    <r>
      <rPr>
        <b/>
        <sz val="11"/>
        <color indexed="8"/>
        <rFont val="Calibri"/>
        <family val="2"/>
      </rPr>
      <t>Activo Tangible.-</t>
    </r>
    <r>
      <rPr>
        <sz val="11"/>
        <color theme="1"/>
        <rFont val="Calibri"/>
        <family val="2"/>
        <scheme val="minor"/>
      </rPr>
      <t xml:space="preserve"> Contraparte en bienes tangibles como edificios, terrenos, vehículos, maquinaria, inventario u otros. La contraparte en especie deberá ser propiedad de la entidad de derecho privado, y deberá servir para el desarrollo del proyecto. 
</t>
    </r>
    <r>
      <rPr>
        <b/>
        <sz val="11"/>
        <color indexed="8"/>
        <rFont val="Calibri"/>
        <family val="2"/>
      </rPr>
      <t xml:space="preserve">
Activo Intangible.-</t>
    </r>
    <r>
      <rPr>
        <sz val="11"/>
        <color theme="1"/>
        <rFont val="Calibri"/>
        <family val="2"/>
        <scheme val="minor"/>
      </rPr>
      <t xml:space="preserve"> Contraparte en bienes intangibles como derechos de llaves, marcas, patentes, Know how, etc., los cuales deberán ser valorados conforme la normativa establecida por el Servicio Nacional de Derechos Intelectuales (Senadi).</t>
    </r>
  </si>
  <si>
    <t>CONTRAPARTE DE LA ENTIDAD DE DERECHO PRIVADO (MÍNIMO 20% DE LA INVERSIÓN) IDEA PROYECTO</t>
  </si>
  <si>
    <r>
      <t xml:space="preserve">El video pitch deberá describir en forma verbal los aspectos más relevantes del emprendimiento innovador y en un tiempo máximo de 4 minutos desarrollar el siguiente contenido: 
</t>
    </r>
    <r>
      <rPr>
        <b/>
        <sz val="11"/>
        <color indexed="8"/>
        <rFont val="Calibri"/>
        <family val="2"/>
      </rPr>
      <t>1) Presentación: (Máximo 1 min.).</t>
    </r>
    <r>
      <rPr>
        <sz val="11"/>
        <color theme="1"/>
        <rFont val="Calibri"/>
        <family val="2"/>
        <scheme val="minor"/>
      </rPr>
      <t xml:space="preserve">
• Nombre del postulante y quienes conforman el equipo de trabajo, el título del emprendimiento innovador, ubicación geográfica, y una breve descripción del concepto de negocio del proyecto. 
</t>
    </r>
    <r>
      <rPr>
        <b/>
        <sz val="11"/>
        <color indexed="8"/>
        <rFont val="Calibri"/>
        <family val="2"/>
      </rPr>
      <t xml:space="preserve">
2) Desarrollo: (Máximo 2 min.).</t>
    </r>
    <r>
      <rPr>
        <sz val="11"/>
        <color theme="1"/>
        <rFont val="Calibri"/>
        <family val="2"/>
        <scheme val="minor"/>
      </rPr>
      <t xml:space="preserve">
• Descripción del problema que se pretende resolver u oportunidad a aprovechar con el desarrollo del bien, servicio o proceso innovador. 
• Detalle de necesidades, en orden de prioridad, del emprendimiento innovador, situación actual, justificación de la necesidad de financiación, y destino de los recursos solicitados (herramientas, insumos, servicios profesionales, entre otros).
</t>
    </r>
    <r>
      <rPr>
        <b/>
        <sz val="11"/>
        <color indexed="8"/>
        <rFont val="Calibri"/>
        <family val="2"/>
      </rPr>
      <t>3) Cierre: (Máximo 1 min.).</t>
    </r>
    <r>
      <rPr>
        <sz val="11"/>
        <color theme="1"/>
        <rFont val="Calibri"/>
        <family val="2"/>
        <scheme val="minor"/>
      </rPr>
      <t xml:space="preserve">
• Presentación de las razones que motiven a invertir en el proyecto, relacionadas con el impacto de recibir los recursos en la elaboración, el funcionamiento y crecimiento del proyecto.
</t>
    </r>
  </si>
  <si>
    <t>8.- Pega el enlace de descarga en este formulario</t>
  </si>
  <si>
    <t>INFORMACIÓN COMPLEMENTARIA</t>
  </si>
  <si>
    <t>1.3</t>
  </si>
  <si>
    <t>CONTRAPARTE DE LA ENTIDAD DE DERECHO PRIVADO (MÍNIMO 20% DE LA INVERSIÓN) PUESTA EN MARCHA</t>
  </si>
  <si>
    <t>3.3</t>
  </si>
  <si>
    <t>4.1</t>
  </si>
  <si>
    <t>4.2</t>
  </si>
  <si>
    <t>4.3</t>
  </si>
  <si>
    <t>4.4</t>
  </si>
  <si>
    <t>5.1</t>
  </si>
  <si>
    <t>5.2</t>
  </si>
  <si>
    <t>5.3</t>
  </si>
  <si>
    <t>5.4</t>
  </si>
  <si>
    <t>5.7</t>
  </si>
  <si>
    <t>5.9</t>
  </si>
  <si>
    <t>1.14</t>
  </si>
  <si>
    <t>PROVINCIAS</t>
  </si>
  <si>
    <t>OPCION</t>
  </si>
  <si>
    <t>CATEGORIA</t>
  </si>
  <si>
    <t>ETAPA</t>
  </si>
  <si>
    <t>INDUSTRIA</t>
  </si>
  <si>
    <t>FIN</t>
  </si>
  <si>
    <t>NOVEDAD</t>
  </si>
  <si>
    <t>INOVACION</t>
  </si>
  <si>
    <t>FECHA ACTUAL</t>
  </si>
  <si>
    <t>1 *</t>
  </si>
  <si>
    <t>1.1. *</t>
  </si>
  <si>
    <t>1.2 *</t>
  </si>
  <si>
    <t>1.4 *</t>
  </si>
  <si>
    <t>1.5 *</t>
  </si>
  <si>
    <t>1.6 *</t>
  </si>
  <si>
    <t>1.7 *</t>
  </si>
  <si>
    <t>1.8 *</t>
  </si>
  <si>
    <t>1.9 *</t>
  </si>
  <si>
    <t>1.10 *</t>
  </si>
  <si>
    <t>1.11 *</t>
  </si>
  <si>
    <t>1.13 *</t>
  </si>
  <si>
    <t>1.12 *</t>
  </si>
  <si>
    <t>2.1 *</t>
  </si>
  <si>
    <t>2.2 *</t>
  </si>
  <si>
    <t>2.3 *</t>
  </si>
  <si>
    <t>2.4 *</t>
  </si>
  <si>
    <t>2.5 *</t>
  </si>
  <si>
    <t>2.6 *</t>
  </si>
  <si>
    <t>2.7 *</t>
  </si>
  <si>
    <t>2.8 *</t>
  </si>
  <si>
    <t>2.9 *</t>
  </si>
  <si>
    <t>3.1 *</t>
  </si>
  <si>
    <t>3.2 *</t>
  </si>
  <si>
    <t>3.4 *</t>
  </si>
  <si>
    <t>3.5 *</t>
  </si>
  <si>
    <t>3.6 *</t>
  </si>
  <si>
    <t>3.7 *</t>
  </si>
  <si>
    <t>3.8 *</t>
  </si>
  <si>
    <t>3.9 *</t>
  </si>
  <si>
    <t>3.10 *</t>
  </si>
  <si>
    <t>3.11 *</t>
  </si>
  <si>
    <t>5.5 *</t>
  </si>
  <si>
    <t>5.6 *</t>
  </si>
  <si>
    <t>5.8 *</t>
  </si>
  <si>
    <t>5.10 *</t>
  </si>
  <si>
    <r>
      <t xml:space="preserve">CONTRAPARTE DE LA ENTIDAD DE DERECHO PRIVADO (MÍNIMO 25% DE LA INVERSIÓN) </t>
    </r>
    <r>
      <rPr>
        <sz val="11"/>
        <rFont val="Calibri"/>
        <family val="2"/>
      </rPr>
      <t>PUESTA EN MARCHA</t>
    </r>
  </si>
</sst>
</file>

<file path=xl/styles.xml><?xml version="1.0" encoding="utf-8"?>
<styleSheet xmlns="http://schemas.openxmlformats.org/spreadsheetml/2006/main">
  <numFmts count="8">
    <numFmt numFmtId="44" formatCode="_(&quot;$&quot;\ * #,##0.00_);_(&quot;$&quot;\ * \(#,##0.00\);_(&quot;$&quot;\ * &quot;-&quot;??_);_(@_)"/>
    <numFmt numFmtId="164" formatCode="0#_########"/>
    <numFmt numFmtId="165" formatCode="&quot;EXT&quot;_######"/>
    <numFmt numFmtId="166" formatCode="0#########"/>
    <numFmt numFmtId="167" formatCode="&quot;0&quot;########"/>
    <numFmt numFmtId="168" formatCode="&quot;0&quot;#########"/>
    <numFmt numFmtId="169" formatCode="0.000%"/>
    <numFmt numFmtId="170" formatCode="#\ &quot;%&quot;"/>
  </numFmts>
  <fonts count="29">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sz val="10"/>
      <name val="Arial"/>
      <family val="2"/>
    </font>
    <font>
      <sz val="11"/>
      <color rgb="FF1F497D"/>
      <name val="Symbol"/>
      <family val="1"/>
      <charset val="2"/>
    </font>
    <font>
      <b/>
      <sz val="11"/>
      <name val="Calibri"/>
      <family val="2"/>
      <scheme val="minor"/>
    </font>
    <font>
      <b/>
      <sz val="11"/>
      <color rgb="FF000000"/>
      <name val="Calibri"/>
      <family val="2"/>
      <scheme val="minor"/>
    </font>
    <font>
      <sz val="11"/>
      <name val="Calibri"/>
      <family val="2"/>
      <scheme val="minor"/>
    </font>
    <font>
      <sz val="11"/>
      <color rgb="FF000000"/>
      <name val="Calibri"/>
      <family val="2"/>
      <scheme val="minor"/>
    </font>
    <font>
      <u/>
      <sz val="11"/>
      <color rgb="FF000000"/>
      <name val="Calibri"/>
      <family val="2"/>
      <scheme val="minor"/>
    </font>
    <font>
      <sz val="11"/>
      <name val="Calibri"/>
      <family val="2"/>
    </font>
    <font>
      <sz val="11"/>
      <color theme="0" tint="-4.9989318521683403E-2"/>
      <name val="Calibri"/>
      <family val="2"/>
      <scheme val="minor"/>
    </font>
    <font>
      <sz val="12"/>
      <color theme="1"/>
      <name val="Arial"/>
      <family val="2"/>
    </font>
    <font>
      <b/>
      <sz val="9"/>
      <color indexed="81"/>
      <name val="Tahoma"/>
      <family val="2"/>
    </font>
    <font>
      <sz val="9"/>
      <color indexed="81"/>
      <name val="Tahoma"/>
      <family val="2"/>
    </font>
    <font>
      <sz val="9"/>
      <color indexed="10"/>
      <name val="Tahoma"/>
      <family val="2"/>
    </font>
    <font>
      <sz val="11"/>
      <color rgb="FF1F497D"/>
      <name val="Calibri"/>
      <family val="2"/>
      <scheme val="minor"/>
    </font>
    <font>
      <u/>
      <sz val="7.7"/>
      <color theme="10"/>
      <name val="Calibri"/>
      <family val="2"/>
    </font>
    <font>
      <b/>
      <sz val="11"/>
      <color indexed="8"/>
      <name val="Calibri"/>
      <family val="2"/>
    </font>
    <font>
      <sz val="11"/>
      <color indexed="10"/>
      <name val="Calibri"/>
      <family val="2"/>
    </font>
    <font>
      <sz val="11"/>
      <color theme="0" tint="-0.14999847407452621"/>
      <name val="Calibri"/>
      <family val="2"/>
      <scheme val="minor"/>
    </font>
    <font>
      <u/>
      <sz val="11"/>
      <color indexed="62"/>
      <name val="Calibri"/>
      <family val="2"/>
    </font>
    <font>
      <sz val="11"/>
      <color theme="3" tint="0.39997558519241921"/>
      <name val="Calibri"/>
      <family val="2"/>
      <scheme val="minor"/>
    </font>
    <font>
      <b/>
      <sz val="14"/>
      <color theme="1"/>
      <name val="Calibri"/>
      <family val="2"/>
      <scheme val="minor"/>
    </font>
    <font>
      <sz val="11"/>
      <color theme="6" tint="0.79998168889431442"/>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002060"/>
        <bgColor indexed="64"/>
      </patternFill>
    </fill>
    <fill>
      <patternFill patternType="solid">
        <fgColor theme="3" tint="-0.49998474074526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3" tint="-0.249977111117893"/>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FFFF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dotted">
        <color indexed="64"/>
      </bottom>
      <diagonal/>
    </border>
    <border>
      <left/>
      <right/>
      <top style="dotted">
        <color indexed="64"/>
      </top>
      <bottom style="dotted">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alignment vertical="top"/>
      <protection locked="0"/>
    </xf>
  </cellStyleXfs>
  <cellXfs count="324">
    <xf numFmtId="0" fontId="0" fillId="0" borderId="0" xfId="0"/>
    <xf numFmtId="0" fontId="0" fillId="2" borderId="0" xfId="0" applyFill="1"/>
    <xf numFmtId="0" fontId="3" fillId="2" borderId="0" xfId="0" applyFont="1" applyFill="1"/>
    <xf numFmtId="0" fontId="4" fillId="2" borderId="0" xfId="0" applyFont="1" applyFill="1" applyBorder="1" applyAlignment="1">
      <alignment vertical="center"/>
    </xf>
    <xf numFmtId="0" fontId="0" fillId="0" borderId="0" xfId="0" applyBorder="1" applyAlignment="1">
      <alignment vertical="center"/>
    </xf>
    <xf numFmtId="0" fontId="0" fillId="2" borderId="0" xfId="0" applyFill="1" applyBorder="1" applyAlignment="1">
      <alignment horizontal="center" vertical="center"/>
    </xf>
    <xf numFmtId="0" fontId="4" fillId="4" borderId="1" xfId="0" applyFont="1" applyFill="1" applyBorder="1" applyAlignment="1">
      <alignment vertical="center"/>
    </xf>
    <xf numFmtId="0" fontId="0" fillId="0" borderId="0" xfId="0" applyFill="1"/>
    <xf numFmtId="0" fontId="0" fillId="0" borderId="1" xfId="0" applyFill="1" applyBorder="1"/>
    <xf numFmtId="0" fontId="0" fillId="2" borderId="1" xfId="0" applyFill="1" applyBorder="1"/>
    <xf numFmtId="164" fontId="0" fillId="2" borderId="1" xfId="0" applyNumberFormat="1" applyFill="1" applyBorder="1"/>
    <xf numFmtId="166" fontId="0" fillId="2" borderId="1" xfId="0" applyNumberFormat="1" applyFill="1" applyBorder="1"/>
    <xf numFmtId="0" fontId="0" fillId="0" borderId="1" xfId="0" applyBorder="1"/>
    <xf numFmtId="0" fontId="4" fillId="4" borderId="1" xfId="0" applyFont="1" applyFill="1" applyBorder="1" applyAlignment="1">
      <alignment vertical="center" wrapText="1"/>
    </xf>
    <xf numFmtId="0" fontId="0" fillId="0" borderId="0" xfId="0" applyFill="1" applyBorder="1"/>
    <xf numFmtId="0" fontId="4" fillId="4" borderId="1" xfId="0" applyFont="1" applyFill="1" applyBorder="1" applyAlignment="1">
      <alignment horizontal="left" vertical="center" wrapText="1"/>
    </xf>
    <xf numFmtId="0" fontId="0" fillId="2" borderId="0" xfId="0" applyFill="1" applyBorder="1"/>
    <xf numFmtId="0" fontId="0" fillId="2" borderId="0" xfId="0" applyFill="1" applyBorder="1" applyAlignment="1">
      <alignment horizontal="center"/>
    </xf>
    <xf numFmtId="0" fontId="0" fillId="2" borderId="0" xfId="0" applyFill="1" applyBorder="1" applyAlignment="1"/>
    <xf numFmtId="0" fontId="4" fillId="4" borderId="2" xfId="0" applyFont="1" applyFill="1" applyBorder="1" applyAlignment="1">
      <alignment vertical="center" wrapText="1"/>
    </xf>
    <xf numFmtId="0" fontId="4" fillId="2" borderId="0" xfId="0" applyFont="1" applyFill="1" applyBorder="1" applyAlignment="1">
      <alignment vertical="center" wrapText="1"/>
    </xf>
    <xf numFmtId="0" fontId="5" fillId="2" borderId="0" xfId="0" applyFont="1" applyFill="1"/>
    <xf numFmtId="0" fontId="0" fillId="2" borderId="0" xfId="0" applyFill="1" applyBorder="1" applyAlignment="1">
      <alignment horizontal="right" wrapText="1"/>
    </xf>
    <xf numFmtId="0" fontId="0" fillId="7" borderId="0" xfId="0" applyFill="1" applyBorder="1"/>
    <xf numFmtId="0" fontId="10" fillId="4" borderId="1"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1" fillId="2" borderId="0" xfId="0" applyFont="1" applyFill="1"/>
    <xf numFmtId="0" fontId="0" fillId="4" borderId="1" xfId="0" applyFill="1" applyBorder="1" applyAlignment="1">
      <alignment horizontal="center" wrapText="1"/>
    </xf>
    <xf numFmtId="44" fontId="1" fillId="4" borderId="1" xfId="1" applyFont="1" applyFill="1" applyBorder="1"/>
    <xf numFmtId="44" fontId="1" fillId="0" borderId="1" xfId="1" applyFont="1" applyFill="1" applyBorder="1" applyAlignment="1">
      <alignment horizontal="right" wrapText="1"/>
    </xf>
    <xf numFmtId="44" fontId="1" fillId="0" borderId="17" xfId="1" applyFont="1" applyFill="1" applyBorder="1"/>
    <xf numFmtId="0" fontId="5" fillId="2" borderId="0" xfId="0" applyNumberFormat="1" applyFont="1" applyFill="1"/>
    <xf numFmtId="0" fontId="0" fillId="4" borderId="1" xfId="0" applyFill="1" applyBorder="1" applyAlignment="1">
      <alignment horizontal="center"/>
    </xf>
    <xf numFmtId="9" fontId="1" fillId="4" borderId="1" xfId="2" applyFont="1" applyFill="1" applyBorder="1"/>
    <xf numFmtId="9" fontId="1" fillId="4" borderId="1" xfId="2" applyFont="1" applyFill="1" applyBorder="1" applyAlignment="1">
      <alignment horizontal="right" wrapText="1"/>
    </xf>
    <xf numFmtId="9" fontId="0" fillId="4" borderId="17" xfId="0" applyNumberFormat="1" applyFill="1" applyBorder="1"/>
    <xf numFmtId="0" fontId="12" fillId="4" borderId="1" xfId="0" applyFont="1" applyFill="1" applyBorder="1" applyAlignment="1">
      <alignment wrapText="1"/>
    </xf>
    <xf numFmtId="0" fontId="12" fillId="4" borderId="1" xfId="0" applyFont="1" applyFill="1" applyBorder="1" applyAlignment="1">
      <alignment horizontal="center" wrapText="1"/>
    </xf>
    <xf numFmtId="44" fontId="1" fillId="0" borderId="1" xfId="1" applyFont="1" applyBorder="1"/>
    <xf numFmtId="10" fontId="1" fillId="4" borderId="1" xfId="2" applyNumberFormat="1" applyFont="1" applyFill="1" applyBorder="1"/>
    <xf numFmtId="44" fontId="12" fillId="0" borderId="1" xfId="1" applyFont="1" applyFill="1" applyBorder="1" applyAlignment="1">
      <alignment wrapText="1"/>
    </xf>
    <xf numFmtId="0" fontId="0" fillId="9" borderId="13" xfId="0" applyFill="1" applyBorder="1"/>
    <xf numFmtId="0" fontId="3" fillId="9" borderId="14" xfId="0" applyFont="1" applyFill="1" applyBorder="1"/>
    <xf numFmtId="0" fontId="0" fillId="9" borderId="14" xfId="0" applyFill="1" applyBorder="1"/>
    <xf numFmtId="0" fontId="5" fillId="9" borderId="15" xfId="0" applyFont="1" applyFill="1" applyBorder="1"/>
    <xf numFmtId="0" fontId="0" fillId="9" borderId="16" xfId="0" applyFill="1" applyBorder="1"/>
    <xf numFmtId="0" fontId="10" fillId="4" borderId="1" xfId="0" applyFont="1" applyFill="1" applyBorder="1" applyAlignment="1">
      <alignment vertical="center"/>
    </xf>
    <xf numFmtId="0" fontId="10" fillId="4" borderId="1" xfId="0" applyFont="1" applyFill="1" applyBorder="1" applyAlignment="1">
      <alignment horizontal="center" vertical="center"/>
    </xf>
    <xf numFmtId="0" fontId="10" fillId="4" borderId="17" xfId="0" applyFont="1" applyFill="1" applyBorder="1" applyAlignment="1">
      <alignment horizontal="center" vertical="center"/>
    </xf>
    <xf numFmtId="44" fontId="12" fillId="0" borderId="1" xfId="1" applyFont="1" applyBorder="1"/>
    <xf numFmtId="44" fontId="12" fillId="4" borderId="1" xfId="1" applyFont="1" applyFill="1" applyBorder="1"/>
    <xf numFmtId="9" fontId="12" fillId="4" borderId="17" xfId="2" applyFont="1" applyFill="1" applyBorder="1" applyAlignment="1">
      <alignment horizontal="right"/>
    </xf>
    <xf numFmtId="0" fontId="12" fillId="4" borderId="1" xfId="0" applyFont="1" applyFill="1" applyBorder="1" applyAlignment="1">
      <alignment vertical="center" wrapText="1"/>
    </xf>
    <xf numFmtId="0" fontId="13" fillId="4" borderId="1" xfId="0" applyFont="1" applyFill="1" applyBorder="1" applyAlignment="1">
      <alignment horizontal="right" wrapText="1"/>
    </xf>
    <xf numFmtId="10" fontId="1" fillId="0" borderId="1" xfId="2" applyNumberFormat="1" applyFont="1" applyFill="1" applyBorder="1"/>
    <xf numFmtId="0" fontId="0" fillId="9" borderId="18" xfId="0" applyFill="1" applyBorder="1"/>
    <xf numFmtId="0" fontId="3" fillId="9" borderId="0" xfId="0" applyFont="1" applyFill="1" applyBorder="1"/>
    <xf numFmtId="0" fontId="0" fillId="9" borderId="0" xfId="0" applyFill="1" applyBorder="1"/>
    <xf numFmtId="0" fontId="15" fillId="9" borderId="0" xfId="0" applyFont="1" applyFill="1" applyBorder="1"/>
    <xf numFmtId="44" fontId="1" fillId="0" borderId="23" xfId="1" applyFont="1" applyBorder="1"/>
    <xf numFmtId="0" fontId="0" fillId="9" borderId="19" xfId="0" applyFill="1" applyBorder="1"/>
    <xf numFmtId="0" fontId="0" fillId="9" borderId="20" xfId="0" applyFill="1" applyBorder="1"/>
    <xf numFmtId="0" fontId="0" fillId="9" borderId="21" xfId="0" applyFill="1" applyBorder="1"/>
    <xf numFmtId="0" fontId="12" fillId="2" borderId="0" xfId="0" applyFont="1" applyFill="1" applyBorder="1" applyAlignment="1">
      <alignment wrapText="1"/>
    </xf>
    <xf numFmtId="0" fontId="9" fillId="4" borderId="23" xfId="0" applyFont="1" applyFill="1" applyBorder="1" applyAlignment="1">
      <alignment horizontal="center" vertical="center" wrapText="1"/>
    </xf>
    <xf numFmtId="0" fontId="4" fillId="4" borderId="23" xfId="0" applyFont="1" applyFill="1" applyBorder="1" applyAlignment="1">
      <alignment horizontal="center" vertical="center"/>
    </xf>
    <xf numFmtId="0" fontId="4" fillId="4" borderId="23" xfId="0" applyFont="1" applyFill="1" applyBorder="1" applyAlignment="1">
      <alignment horizontal="center" vertical="center" wrapText="1"/>
    </xf>
    <xf numFmtId="0" fontId="0" fillId="2" borderId="3" xfId="0" applyFill="1" applyBorder="1"/>
    <xf numFmtId="0" fontId="4" fillId="2" borderId="0" xfId="0" applyFont="1" applyFill="1"/>
    <xf numFmtId="0" fontId="8" fillId="2" borderId="0" xfId="0" applyFont="1" applyFill="1" applyAlignment="1">
      <alignment horizontal="left" indent="5"/>
    </xf>
    <xf numFmtId="0" fontId="2" fillId="11" borderId="1" xfId="0" applyFont="1" applyFill="1" applyBorder="1"/>
    <xf numFmtId="0" fontId="20" fillId="2" borderId="0" xfId="0" applyFont="1" applyFill="1"/>
    <xf numFmtId="0" fontId="4" fillId="4" borderId="1" xfId="0" applyFont="1" applyFill="1" applyBorder="1" applyAlignment="1">
      <alignment horizontal="center" vertical="center"/>
    </xf>
    <xf numFmtId="9" fontId="12" fillId="4" borderId="1" xfId="2" applyFont="1" applyFill="1" applyBorder="1" applyAlignment="1">
      <alignment horizontal="right"/>
    </xf>
    <xf numFmtId="0" fontId="9" fillId="12" borderId="1" xfId="0" applyFont="1" applyFill="1" applyBorder="1"/>
    <xf numFmtId="0" fontId="2" fillId="11" borderId="1" xfId="0" applyFont="1" applyFill="1" applyBorder="1" applyAlignment="1">
      <alignment vertical="center"/>
    </xf>
    <xf numFmtId="0" fontId="4" fillId="13" borderId="1" xfId="0" applyFont="1" applyFill="1" applyBorder="1" applyAlignment="1">
      <alignment vertical="center"/>
    </xf>
    <xf numFmtId="165" fontId="0" fillId="2" borderId="1" xfId="0" applyNumberFormat="1" applyFill="1" applyBorder="1"/>
    <xf numFmtId="0" fontId="21" fillId="2" borderId="1" xfId="3" applyFill="1" applyBorder="1" applyAlignment="1" applyProtection="1"/>
    <xf numFmtId="0" fontId="4" fillId="13" borderId="1" xfId="0" applyFont="1" applyFill="1" applyBorder="1" applyAlignment="1">
      <alignment vertical="center" wrapText="1"/>
    </xf>
    <xf numFmtId="0" fontId="0" fillId="2" borderId="1" xfId="0" applyFill="1" applyBorder="1" applyAlignment="1">
      <alignment horizontal="left" wrapText="1"/>
    </xf>
    <xf numFmtId="0" fontId="0" fillId="2" borderId="1" xfId="0" applyFill="1" applyBorder="1" applyAlignment="1">
      <alignment horizontal="left" vertical="center" wrapText="1"/>
    </xf>
    <xf numFmtId="0" fontId="0" fillId="2" borderId="1" xfId="0" applyFill="1" applyBorder="1" applyAlignment="1">
      <alignment horizontal="left" vertical="center"/>
    </xf>
    <xf numFmtId="0" fontId="0" fillId="2" borderId="1" xfId="0" applyFill="1" applyBorder="1" applyAlignment="1">
      <alignment horizontal="center"/>
    </xf>
    <xf numFmtId="0" fontId="6" fillId="6" borderId="11" xfId="0" applyFont="1" applyFill="1" applyBorder="1" applyAlignment="1"/>
    <xf numFmtId="0" fontId="6" fillId="6" borderId="2" xfId="0" applyFont="1" applyFill="1" applyBorder="1" applyAlignment="1"/>
    <xf numFmtId="0" fontId="0" fillId="2" borderId="1" xfId="0" applyFill="1" applyBorder="1" applyAlignment="1">
      <alignment horizontal="left" vertical="top" wrapText="1"/>
    </xf>
    <xf numFmtId="0" fontId="0" fillId="7" borderId="0" xfId="0" applyFill="1"/>
    <xf numFmtId="0" fontId="0" fillId="9" borderId="0" xfId="0" applyFill="1"/>
    <xf numFmtId="9" fontId="1" fillId="4" borderId="3" xfId="2" applyFont="1" applyFill="1" applyBorder="1" applyAlignment="1">
      <alignment horizontal="center"/>
    </xf>
    <xf numFmtId="9" fontId="12" fillId="9" borderId="0" xfId="2" applyFont="1" applyFill="1" applyBorder="1" applyAlignment="1">
      <alignment wrapText="1"/>
    </xf>
    <xf numFmtId="0" fontId="12" fillId="9" borderId="0" xfId="0" applyFont="1" applyFill="1" applyBorder="1" applyAlignment="1">
      <alignment wrapText="1"/>
    </xf>
    <xf numFmtId="0" fontId="9" fillId="2" borderId="0" xfId="0" applyFont="1" applyFill="1" applyBorder="1"/>
    <xf numFmtId="1" fontId="0" fillId="0" borderId="1" xfId="0" applyNumberFormat="1" applyFill="1" applyBorder="1" applyAlignment="1">
      <alignment horizontal="left" vertical="top"/>
    </xf>
    <xf numFmtId="0" fontId="11" fillId="12" borderId="1" xfId="0" applyFont="1" applyFill="1" applyBorder="1"/>
    <xf numFmtId="44" fontId="24" fillId="7" borderId="0" xfId="0" applyNumberFormat="1" applyFont="1" applyFill="1"/>
    <xf numFmtId="0" fontId="0" fillId="2" borderId="4" xfId="0" applyFill="1" applyBorder="1" applyAlignment="1">
      <alignment vertical="top"/>
    </xf>
    <xf numFmtId="0" fontId="0" fillId="2" borderId="0" xfId="0" applyFill="1" applyBorder="1" applyAlignment="1">
      <alignment vertical="top"/>
    </xf>
    <xf numFmtId="0" fontId="0" fillId="2" borderId="0" xfId="0" applyFill="1" applyBorder="1" applyAlignment="1">
      <alignment vertical="top" wrapText="1"/>
    </xf>
    <xf numFmtId="0" fontId="0" fillId="2" borderId="6" xfId="0" applyFill="1" applyBorder="1"/>
    <xf numFmtId="0" fontId="0" fillId="2" borderId="7" xfId="0" applyFill="1" applyBorder="1"/>
    <xf numFmtId="0" fontId="0" fillId="2" borderId="12" xfId="0" applyFill="1" applyBorder="1"/>
    <xf numFmtId="0" fontId="0" fillId="2" borderId="12" xfId="0" applyFill="1" applyBorder="1" applyAlignment="1">
      <alignment vertical="top" wrapText="1"/>
    </xf>
    <xf numFmtId="0" fontId="0" fillId="2" borderId="4" xfId="0" applyFill="1" applyBorder="1"/>
    <xf numFmtId="0" fontId="0" fillId="2" borderId="8" xfId="0" applyFill="1" applyBorder="1"/>
    <xf numFmtId="0" fontId="0" fillId="2" borderId="9" xfId="0" applyFill="1" applyBorder="1"/>
    <xf numFmtId="0" fontId="0" fillId="2" borderId="10" xfId="0" applyFill="1" applyBorder="1"/>
    <xf numFmtId="0" fontId="0" fillId="2" borderId="5" xfId="0" applyFill="1" applyBorder="1"/>
    <xf numFmtId="0" fontId="0" fillId="0" borderId="1" xfId="0" applyFill="1" applyBorder="1" applyAlignment="1">
      <alignment horizontal="left" vertical="center" wrapText="1"/>
    </xf>
    <xf numFmtId="0" fontId="0" fillId="0" borderId="1" xfId="0" applyFill="1" applyBorder="1" applyAlignment="1">
      <alignment horizontal="left" wrapText="1"/>
    </xf>
    <xf numFmtId="0" fontId="0" fillId="2" borderId="4" xfId="0" applyFill="1" applyBorder="1" applyAlignment="1">
      <alignment vertical="top"/>
    </xf>
    <xf numFmtId="0" fontId="4" fillId="4" borderId="1" xfId="0" applyFont="1" applyFill="1" applyBorder="1" applyAlignment="1">
      <alignment horizontal="center" vertical="center" wrapText="1"/>
    </xf>
    <xf numFmtId="0" fontId="12" fillId="4" borderId="1" xfId="0" applyFont="1" applyFill="1" applyBorder="1" applyAlignment="1">
      <alignment horizontal="center" wrapText="1"/>
    </xf>
    <xf numFmtId="0" fontId="0" fillId="2" borderId="0" xfId="0" applyFill="1" applyAlignment="1">
      <alignment horizontal="left"/>
    </xf>
    <xf numFmtId="0" fontId="0" fillId="2" borderId="0" xfId="0" applyFill="1" applyAlignment="1">
      <alignment horizontal="center"/>
    </xf>
    <xf numFmtId="0" fontId="0" fillId="2" borderId="25" xfId="0" applyFill="1" applyBorder="1"/>
    <xf numFmtId="0" fontId="0" fillId="2" borderId="26" xfId="0" applyFill="1" applyBorder="1"/>
    <xf numFmtId="0" fontId="0" fillId="2" borderId="26" xfId="0" applyFill="1" applyBorder="1" applyAlignment="1"/>
    <xf numFmtId="0" fontId="0" fillId="2" borderId="26" xfId="0" applyFill="1" applyBorder="1" applyAlignment="1">
      <alignment wrapText="1"/>
    </xf>
    <xf numFmtId="0" fontId="0" fillId="2" borderId="25" xfId="0" applyFill="1" applyBorder="1" applyAlignment="1"/>
    <xf numFmtId="0" fontId="27" fillId="3" borderId="1" xfId="0" applyFont="1" applyFill="1" applyBorder="1" applyAlignment="1">
      <alignment wrapText="1"/>
    </xf>
    <xf numFmtId="0" fontId="4" fillId="4" borderId="1" xfId="0" applyFont="1" applyFill="1" applyBorder="1" applyAlignment="1">
      <alignment horizontal="left" vertical="top"/>
    </xf>
    <xf numFmtId="0" fontId="0" fillId="2" borderId="0" xfId="0" applyFill="1" applyAlignment="1">
      <alignment vertical="center"/>
    </xf>
    <xf numFmtId="0" fontId="0" fillId="2" borderId="0" xfId="0" applyFill="1" applyBorder="1" applyAlignment="1">
      <alignment vertical="center"/>
    </xf>
    <xf numFmtId="0" fontId="0" fillId="2" borderId="0" xfId="0" applyFill="1" applyAlignment="1">
      <alignment horizontal="left" vertical="center" indent="14"/>
    </xf>
    <xf numFmtId="0" fontId="0" fillId="2" borderId="0" xfId="0" applyFill="1" applyAlignment="1">
      <alignment horizontal="left" vertical="center" indent="19"/>
    </xf>
    <xf numFmtId="0" fontId="2" fillId="6" borderId="24" xfId="0" applyFont="1" applyFill="1" applyBorder="1" applyAlignment="1">
      <alignment horizontal="center" wrapText="1"/>
    </xf>
    <xf numFmtId="0" fontId="2" fillId="6" borderId="27" xfId="0" applyFont="1" applyFill="1" applyBorder="1" applyAlignment="1">
      <alignment horizontal="center" wrapText="1"/>
    </xf>
    <xf numFmtId="0" fontId="12" fillId="4" borderId="28" xfId="0" applyFont="1" applyFill="1" applyBorder="1" applyAlignment="1">
      <alignment wrapText="1"/>
    </xf>
    <xf numFmtId="44" fontId="12" fillId="0" borderId="28" xfId="1" applyFont="1" applyFill="1" applyBorder="1" applyAlignment="1">
      <alignment wrapText="1"/>
    </xf>
    <xf numFmtId="0" fontId="0" fillId="16" borderId="13" xfId="0" applyFill="1" applyBorder="1"/>
    <xf numFmtId="0" fontId="3" fillId="16" borderId="14" xfId="0" applyFont="1" applyFill="1" applyBorder="1" applyAlignment="1">
      <alignment horizontal="right" wrapText="1"/>
    </xf>
    <xf numFmtId="0" fontId="0" fillId="16" borderId="16" xfId="0" applyFill="1" applyBorder="1"/>
    <xf numFmtId="0" fontId="0" fillId="16" borderId="0" xfId="0" applyFill="1" applyBorder="1"/>
    <xf numFmtId="0" fontId="0" fillId="16" borderId="14" xfId="0" applyFill="1" applyBorder="1" applyAlignment="1">
      <alignment horizontal="right" wrapText="1"/>
    </xf>
    <xf numFmtId="0" fontId="0" fillId="16" borderId="14" xfId="0" applyFill="1" applyBorder="1"/>
    <xf numFmtId="0" fontId="0" fillId="16" borderId="15" xfId="0" applyFill="1" applyBorder="1"/>
    <xf numFmtId="0" fontId="0" fillId="16" borderId="19" xfId="0" applyFill="1" applyBorder="1"/>
    <xf numFmtId="0" fontId="0" fillId="16" borderId="0" xfId="0" applyFill="1" applyBorder="1" applyAlignment="1">
      <alignment horizontal="center"/>
    </xf>
    <xf numFmtId="9" fontId="1" fillId="16" borderId="0" xfId="2" applyFont="1" applyFill="1" applyBorder="1"/>
    <xf numFmtId="9" fontId="1" fillId="16" borderId="0" xfId="2" applyFont="1" applyFill="1" applyBorder="1" applyAlignment="1">
      <alignment horizontal="right" wrapText="1"/>
    </xf>
    <xf numFmtId="9" fontId="0" fillId="16" borderId="18" xfId="0" applyNumberFormat="1" applyFill="1" applyBorder="1"/>
    <xf numFmtId="0" fontId="0" fillId="16" borderId="20" xfId="0" applyFill="1" applyBorder="1" applyAlignment="1">
      <alignment horizontal="right" wrapText="1"/>
    </xf>
    <xf numFmtId="0" fontId="0" fillId="16" borderId="20" xfId="0" applyFill="1" applyBorder="1"/>
    <xf numFmtId="0" fontId="0" fillId="16" borderId="21" xfId="0" applyFill="1" applyBorder="1"/>
    <xf numFmtId="0" fontId="0" fillId="16" borderId="18" xfId="0" applyFill="1" applyBorder="1"/>
    <xf numFmtId="0" fontId="28" fillId="9" borderId="0" xfId="0" applyFont="1" applyFill="1" applyBorder="1"/>
    <xf numFmtId="0" fontId="0" fillId="16" borderId="16" xfId="0" applyFill="1" applyBorder="1" applyAlignment="1">
      <alignment vertical="center"/>
    </xf>
    <xf numFmtId="0" fontId="4" fillId="0" borderId="0" xfId="0" applyFont="1" applyAlignment="1">
      <alignment horizontal="left"/>
    </xf>
    <xf numFmtId="0" fontId="4" fillId="0" borderId="0" xfId="0" applyFont="1"/>
    <xf numFmtId="1" fontId="4" fillId="0" borderId="0" xfId="0" applyNumberFormat="1" applyFont="1" applyAlignment="1">
      <alignment horizontal="right"/>
    </xf>
    <xf numFmtId="0" fontId="7" fillId="0" borderId="0" xfId="0" applyNumberFormat="1" applyFont="1" applyFill="1" applyBorder="1" applyAlignment="1">
      <alignment horizontal="left" vertical="center" wrapText="1"/>
    </xf>
    <xf numFmtId="14" fontId="0" fillId="0" borderId="0" xfId="0" applyNumberFormat="1"/>
    <xf numFmtId="0" fontId="7" fillId="0" borderId="0" xfId="0" applyFont="1" applyFill="1" applyBorder="1" applyAlignment="1">
      <alignment horizontal="left" vertical="center" wrapText="1"/>
    </xf>
    <xf numFmtId="1" fontId="0" fillId="0" borderId="0" xfId="0" applyNumberFormat="1" applyAlignment="1">
      <alignment horizontal="right"/>
    </xf>
    <xf numFmtId="0" fontId="0" fillId="0" borderId="0" xfId="0" applyAlignment="1">
      <alignment horizontal="left"/>
    </xf>
    <xf numFmtId="2" fontId="0" fillId="0" borderId="0" xfId="0" applyNumberFormat="1"/>
    <xf numFmtId="0" fontId="0" fillId="0" borderId="1" xfId="0" applyFill="1" applyBorder="1" applyProtection="1">
      <protection locked="0"/>
    </xf>
    <xf numFmtId="0" fontId="0" fillId="2" borderId="1" xfId="0" applyFill="1" applyBorder="1" applyProtection="1">
      <protection locked="0"/>
    </xf>
    <xf numFmtId="165" fontId="0" fillId="2" borderId="1" xfId="0" applyNumberFormat="1" applyFill="1" applyBorder="1" applyAlignment="1" applyProtection="1">
      <alignment horizontal="left"/>
      <protection locked="0"/>
    </xf>
    <xf numFmtId="44" fontId="12" fillId="0" borderId="1" xfId="1" applyFont="1" applyFill="1" applyBorder="1" applyProtection="1">
      <protection locked="0"/>
    </xf>
    <xf numFmtId="44" fontId="1" fillId="0" borderId="1" xfId="1" applyFont="1" applyFill="1" applyBorder="1" applyProtection="1">
      <protection locked="0"/>
    </xf>
    <xf numFmtId="44" fontId="1" fillId="0" borderId="23" xfId="1" applyFont="1" applyFill="1" applyBorder="1" applyProtection="1">
      <protection locked="0"/>
    </xf>
    <xf numFmtId="44" fontId="1" fillId="0" borderId="1" xfId="1" applyFont="1" applyFill="1" applyBorder="1" applyAlignment="1" applyProtection="1">
      <alignment horizontal="right" wrapText="1"/>
      <protection locked="0"/>
    </xf>
    <xf numFmtId="44" fontId="1" fillId="0" borderId="17" xfId="1" applyFont="1" applyFill="1" applyBorder="1" applyProtection="1">
      <protection locked="0"/>
    </xf>
    <xf numFmtId="44" fontId="1" fillId="0" borderId="1" xfId="1" applyFont="1" applyBorder="1" applyProtection="1">
      <protection locked="0"/>
    </xf>
    <xf numFmtId="0" fontId="16" fillId="10" borderId="1" xfId="0" applyFont="1" applyFill="1" applyBorder="1" applyAlignment="1" applyProtection="1">
      <alignment horizontal="center" vertical="top" wrapText="1"/>
      <protection locked="0"/>
    </xf>
    <xf numFmtId="0" fontId="0" fillId="10" borderId="1" xfId="0" applyFill="1" applyBorder="1" applyProtection="1">
      <protection locked="0"/>
    </xf>
    <xf numFmtId="0" fontId="16" fillId="10" borderId="1" xfId="0" applyFont="1" applyFill="1" applyBorder="1" applyAlignment="1" applyProtection="1">
      <alignment vertical="top" wrapText="1"/>
      <protection locked="0"/>
    </xf>
    <xf numFmtId="0" fontId="0" fillId="17" borderId="1" xfId="0" applyFill="1" applyBorder="1" applyProtection="1">
      <protection locked="0"/>
    </xf>
    <xf numFmtId="49" fontId="0" fillId="17" borderId="1" xfId="0" applyNumberFormat="1" applyFill="1" applyBorder="1" applyProtection="1">
      <protection locked="0"/>
    </xf>
    <xf numFmtId="0" fontId="0" fillId="17" borderId="3" xfId="0" applyFill="1" applyBorder="1" applyProtection="1">
      <protection locked="0"/>
    </xf>
    <xf numFmtId="167" fontId="0" fillId="17" borderId="1" xfId="0" applyNumberFormat="1" applyFill="1" applyBorder="1" applyProtection="1">
      <protection locked="0"/>
    </xf>
    <xf numFmtId="168" fontId="0" fillId="17" borderId="1" xfId="0" applyNumberFormat="1" applyFill="1" applyBorder="1" applyProtection="1">
      <protection locked="0"/>
    </xf>
    <xf numFmtId="14" fontId="0" fillId="17" borderId="1" xfId="0" applyNumberFormat="1" applyFill="1" applyBorder="1" applyProtection="1">
      <protection locked="0"/>
    </xf>
    <xf numFmtId="0" fontId="0" fillId="17" borderId="1" xfId="0" applyFill="1" applyBorder="1" applyAlignment="1" applyProtection="1">
      <protection locked="0"/>
    </xf>
    <xf numFmtId="0" fontId="0" fillId="17" borderId="1" xfId="0" applyFill="1" applyBorder="1" applyAlignment="1" applyProtection="1">
      <alignment vertical="center" wrapText="1"/>
      <protection locked="0"/>
    </xf>
    <xf numFmtId="169" fontId="1" fillId="0" borderId="1" xfId="2" applyNumberFormat="1" applyFont="1" applyFill="1" applyBorder="1"/>
    <xf numFmtId="169" fontId="1" fillId="4" borderId="1" xfId="2" applyNumberFormat="1" applyFont="1" applyFill="1" applyBorder="1"/>
    <xf numFmtId="169" fontId="1" fillId="4" borderId="3" xfId="2" applyNumberFormat="1" applyFont="1" applyFill="1" applyBorder="1"/>
    <xf numFmtId="169" fontId="1" fillId="4" borderId="29" xfId="2" applyNumberFormat="1" applyFont="1" applyFill="1" applyBorder="1"/>
    <xf numFmtId="169" fontId="1" fillId="4" borderId="1" xfId="2" applyNumberFormat="1" applyFont="1" applyFill="1" applyBorder="1" applyAlignment="1">
      <alignment horizontal="right" wrapText="1"/>
    </xf>
    <xf numFmtId="169" fontId="0" fillId="4" borderId="17" xfId="0" applyNumberFormat="1" applyFill="1" applyBorder="1"/>
    <xf numFmtId="169" fontId="1" fillId="8" borderId="1" xfId="2" applyNumberFormat="1" applyFont="1" applyFill="1" applyBorder="1"/>
    <xf numFmtId="169" fontId="12" fillId="4" borderId="1" xfId="2" applyNumberFormat="1" applyFont="1" applyFill="1" applyBorder="1" applyAlignment="1">
      <alignment wrapText="1"/>
    </xf>
    <xf numFmtId="14" fontId="16" fillId="10" borderId="1" xfId="0" applyNumberFormat="1" applyFont="1" applyFill="1" applyBorder="1" applyAlignment="1" applyProtection="1">
      <alignment horizontal="center" vertical="top" wrapText="1"/>
      <protection locked="0"/>
    </xf>
    <xf numFmtId="14" fontId="0" fillId="10" borderId="1" xfId="0" applyNumberFormat="1" applyFill="1" applyBorder="1" applyProtection="1">
      <protection locked="0"/>
    </xf>
    <xf numFmtId="49" fontId="16" fillId="10" borderId="1" xfId="0" applyNumberFormat="1" applyFont="1" applyFill="1" applyBorder="1" applyAlignment="1" applyProtection="1">
      <alignment vertical="top" wrapText="1"/>
      <protection locked="0"/>
    </xf>
    <xf numFmtId="49" fontId="0" fillId="10" borderId="1" xfId="0" applyNumberFormat="1" applyFill="1" applyBorder="1" applyProtection="1">
      <protection locked="0"/>
    </xf>
    <xf numFmtId="170" fontId="16" fillId="10" borderId="1" xfId="0" applyNumberFormat="1" applyFont="1" applyFill="1" applyBorder="1" applyAlignment="1" applyProtection="1">
      <alignment vertical="top" wrapText="1"/>
      <protection locked="0"/>
    </xf>
    <xf numFmtId="170" fontId="0" fillId="10" borderId="1" xfId="0" applyNumberFormat="1" applyFill="1" applyBorder="1" applyProtection="1">
      <protection locked="0"/>
    </xf>
    <xf numFmtId="0" fontId="0" fillId="17" borderId="2" xfId="0" applyFill="1"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4" fillId="4" borderId="1" xfId="0" applyFont="1" applyFill="1" applyBorder="1" applyAlignment="1">
      <alignment horizontal="left" vertical="center"/>
    </xf>
    <xf numFmtId="0" fontId="0" fillId="17" borderId="5" xfId="0" applyFill="1" applyBorder="1" applyAlignment="1" applyProtection="1">
      <alignment horizontal="center"/>
      <protection locked="0"/>
    </xf>
    <xf numFmtId="0" fontId="0" fillId="2" borderId="6" xfId="0" applyFill="1" applyBorder="1" applyAlignment="1" applyProtection="1">
      <alignment horizontal="center"/>
      <protection locked="0"/>
    </xf>
    <xf numFmtId="0" fontId="0" fillId="2" borderId="7" xfId="0" applyFill="1" applyBorder="1" applyAlignment="1" applyProtection="1">
      <alignment horizontal="center"/>
      <protection locked="0"/>
    </xf>
    <xf numFmtId="0" fontId="0" fillId="2" borderId="8"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4" fillId="4" borderId="1" xfId="0" applyFont="1" applyFill="1" applyBorder="1" applyAlignment="1">
      <alignment horizontal="center" vertical="center" wrapText="1"/>
    </xf>
    <xf numFmtId="0" fontId="0" fillId="17" borderId="5" xfId="0" applyFill="1" applyBorder="1" applyAlignment="1" applyProtection="1">
      <alignment horizontal="right"/>
      <protection locked="0"/>
    </xf>
    <xf numFmtId="0" fontId="0" fillId="2" borderId="7" xfId="0" applyFill="1" applyBorder="1" applyAlignment="1" applyProtection="1">
      <alignment horizontal="right"/>
      <protection locked="0"/>
    </xf>
    <xf numFmtId="0" fontId="0" fillId="2" borderId="4" xfId="0" applyFill="1" applyBorder="1" applyAlignment="1" applyProtection="1">
      <alignment horizontal="right"/>
      <protection locked="0"/>
    </xf>
    <xf numFmtId="0" fontId="0" fillId="2" borderId="12" xfId="0" applyFill="1" applyBorder="1" applyAlignment="1" applyProtection="1">
      <alignment horizontal="right"/>
      <protection locked="0"/>
    </xf>
    <xf numFmtId="0" fontId="0" fillId="2" borderId="8" xfId="0" applyFill="1" applyBorder="1" applyAlignment="1" applyProtection="1">
      <alignment horizontal="right"/>
      <protection locked="0"/>
    </xf>
    <xf numFmtId="0" fontId="0" fillId="2" borderId="10" xfId="0" applyFill="1" applyBorder="1" applyAlignment="1" applyProtection="1">
      <alignment horizontal="right"/>
      <protection locked="0"/>
    </xf>
    <xf numFmtId="0" fontId="9" fillId="4" borderId="2" xfId="0" applyFont="1" applyFill="1" applyBorder="1" applyAlignment="1">
      <alignment horizontal="center" vertical="center" wrapText="1"/>
    </xf>
    <xf numFmtId="0" fontId="9" fillId="4" borderId="3" xfId="0" applyFont="1" applyFill="1" applyBorder="1" applyAlignment="1">
      <alignment horizontal="center" vertical="center" wrapText="1"/>
    </xf>
    <xf numFmtId="0" fontId="0" fillId="17"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6" fillId="5" borderId="4" xfId="0" applyFont="1" applyFill="1" applyBorder="1" applyAlignment="1">
      <alignment horizontal="center"/>
    </xf>
    <xf numFmtId="0" fontId="6" fillId="5" borderId="0" xfId="0" applyFont="1" applyFill="1" applyBorder="1" applyAlignment="1">
      <alignment horizontal="center"/>
    </xf>
    <xf numFmtId="0" fontId="6" fillId="6" borderId="4" xfId="0" applyFont="1" applyFill="1" applyBorder="1" applyAlignment="1">
      <alignment horizontal="center"/>
    </xf>
    <xf numFmtId="0" fontId="6" fillId="6" borderId="0" xfId="0" applyFont="1" applyFill="1" applyBorder="1" applyAlignment="1">
      <alignment horizontal="center"/>
    </xf>
    <xf numFmtId="0" fontId="9" fillId="4" borderId="24" xfId="0" applyFont="1" applyFill="1" applyBorder="1" applyAlignment="1">
      <alignment horizontal="center" vertical="center" wrapText="1"/>
    </xf>
    <xf numFmtId="0" fontId="9" fillId="4" borderId="23" xfId="0" applyFont="1" applyFill="1" applyBorder="1" applyAlignment="1">
      <alignment horizontal="center" vertical="center" wrapText="1"/>
    </xf>
    <xf numFmtId="0" fontId="0" fillId="17" borderId="5" xfId="0" applyFill="1" applyBorder="1" applyAlignment="1" applyProtection="1">
      <alignment horizontal="right" wrapText="1"/>
      <protection locked="0"/>
    </xf>
    <xf numFmtId="0" fontId="0" fillId="2" borderId="7" xfId="0" applyFill="1" applyBorder="1" applyAlignment="1" applyProtection="1">
      <alignment horizontal="right" wrapText="1"/>
      <protection locked="0"/>
    </xf>
    <xf numFmtId="0" fontId="0" fillId="2" borderId="4" xfId="0" applyFill="1" applyBorder="1" applyAlignment="1" applyProtection="1">
      <alignment horizontal="right" wrapText="1"/>
      <protection locked="0"/>
    </xf>
    <xf numFmtId="0" fontId="0" fillId="2" borderId="12" xfId="0" applyFill="1" applyBorder="1" applyAlignment="1" applyProtection="1">
      <alignment horizontal="right" wrapText="1"/>
      <protection locked="0"/>
    </xf>
    <xf numFmtId="0" fontId="0" fillId="2" borderId="8" xfId="0" applyFill="1" applyBorder="1" applyAlignment="1" applyProtection="1">
      <alignment horizontal="right" wrapText="1"/>
      <protection locked="0"/>
    </xf>
    <xf numFmtId="0" fontId="0" fillId="2" borderId="10" xfId="0" applyFill="1" applyBorder="1" applyAlignment="1" applyProtection="1">
      <alignment horizontal="right" wrapText="1"/>
      <protection locked="0"/>
    </xf>
    <xf numFmtId="0" fontId="10" fillId="4" borderId="2" xfId="0" applyFont="1" applyFill="1" applyBorder="1" applyAlignment="1">
      <alignment horizontal="center"/>
    </xf>
    <xf numFmtId="0" fontId="10" fillId="4" borderId="11" xfId="0" applyFont="1" applyFill="1" applyBorder="1" applyAlignment="1">
      <alignment horizontal="center"/>
    </xf>
    <xf numFmtId="0" fontId="10" fillId="4" borderId="22" xfId="0" applyFont="1" applyFill="1" applyBorder="1" applyAlignment="1">
      <alignment horizontal="center"/>
    </xf>
    <xf numFmtId="0" fontId="4" fillId="2" borderId="0" xfId="0" applyFont="1" applyFill="1" applyBorder="1" applyAlignment="1">
      <alignment horizontal="right" wrapText="1"/>
    </xf>
    <xf numFmtId="0" fontId="0" fillId="2" borderId="0" xfId="0" applyFill="1" applyAlignment="1">
      <alignment horizontal="left" wrapText="1"/>
    </xf>
    <xf numFmtId="0" fontId="9" fillId="4" borderId="1" xfId="0" applyFont="1" applyFill="1" applyBorder="1" applyAlignment="1">
      <alignment horizontal="center" vertical="center" wrapText="1"/>
    </xf>
    <xf numFmtId="0" fontId="0" fillId="4" borderId="2" xfId="0" applyFill="1" applyBorder="1" applyAlignment="1">
      <alignment horizontal="center" wrapText="1"/>
    </xf>
    <xf numFmtId="0" fontId="0" fillId="4" borderId="3" xfId="0" applyFill="1" applyBorder="1" applyAlignment="1">
      <alignment horizontal="center" wrapText="1"/>
    </xf>
    <xf numFmtId="0" fontId="10" fillId="4" borderId="2" xfId="0" applyFont="1" applyFill="1" applyBorder="1" applyAlignment="1">
      <alignment horizontal="center" wrapText="1"/>
    </xf>
    <xf numFmtId="0" fontId="10" fillId="4" borderId="11" xfId="0" applyFont="1" applyFill="1" applyBorder="1" applyAlignment="1">
      <alignment horizontal="center" wrapText="1"/>
    </xf>
    <xf numFmtId="0" fontId="10" fillId="4" borderId="3" xfId="0" applyFont="1" applyFill="1" applyBorder="1" applyAlignment="1">
      <alignment horizontal="center" wrapText="1"/>
    </xf>
    <xf numFmtId="0" fontId="10" fillId="4" borderId="1" xfId="0" applyFont="1" applyFill="1" applyBorder="1" applyAlignment="1">
      <alignment horizontal="center" wrapText="1"/>
    </xf>
    <xf numFmtId="0" fontId="4" fillId="4" borderId="1" xfId="0" applyFont="1" applyFill="1" applyBorder="1" applyAlignment="1">
      <alignment horizontal="center" vertical="top" wrapText="1"/>
    </xf>
    <xf numFmtId="0" fontId="4" fillId="4" borderId="24" xfId="0" applyFont="1" applyFill="1" applyBorder="1" applyAlignment="1">
      <alignment horizontal="center" vertical="center" wrapText="1"/>
    </xf>
    <xf numFmtId="0" fontId="4" fillId="4" borderId="23" xfId="0" applyFont="1" applyFill="1" applyBorder="1" applyAlignment="1">
      <alignment horizontal="center" vertical="center" wrapText="1"/>
    </xf>
    <xf numFmtId="0" fontId="6" fillId="11" borderId="2" xfId="0" applyFont="1" applyFill="1" applyBorder="1" applyAlignment="1">
      <alignment horizontal="center"/>
    </xf>
    <xf numFmtId="0" fontId="6" fillId="11" borderId="11" xfId="0" applyFont="1" applyFill="1" applyBorder="1" applyAlignment="1">
      <alignment horizontal="center"/>
    </xf>
    <xf numFmtId="0" fontId="4" fillId="13" borderId="1" xfId="0" applyFont="1" applyFill="1" applyBorder="1" applyAlignment="1">
      <alignment horizontal="left" vertical="center"/>
    </xf>
    <xf numFmtId="0" fontId="0" fillId="2" borderId="5" xfId="0" applyFill="1" applyBorder="1" applyAlignment="1">
      <alignment horizontal="left" vertical="center"/>
    </xf>
    <xf numFmtId="0" fontId="0" fillId="2" borderId="6" xfId="0" applyFill="1" applyBorder="1" applyAlignment="1">
      <alignment horizontal="left" vertical="center"/>
    </xf>
    <xf numFmtId="0" fontId="0" fillId="2" borderId="7" xfId="0" applyFill="1" applyBorder="1" applyAlignment="1">
      <alignment horizontal="left" vertical="center"/>
    </xf>
    <xf numFmtId="0" fontId="0" fillId="2" borderId="8" xfId="0" applyFill="1" applyBorder="1" applyAlignment="1">
      <alignment horizontal="left" vertical="center"/>
    </xf>
    <xf numFmtId="0" fontId="0" fillId="2" borderId="9" xfId="0" applyFill="1" applyBorder="1" applyAlignment="1">
      <alignment horizontal="left" vertical="center"/>
    </xf>
    <xf numFmtId="0" fontId="0" fillId="2" borderId="10" xfId="0" applyFill="1" applyBorder="1" applyAlignment="1">
      <alignment horizontal="left" vertical="center"/>
    </xf>
    <xf numFmtId="0" fontId="6" fillId="6" borderId="2" xfId="0" applyFont="1" applyFill="1" applyBorder="1" applyAlignment="1">
      <alignment horizontal="center"/>
    </xf>
    <xf numFmtId="0" fontId="6" fillId="6" borderId="11" xfId="0" applyFont="1" applyFill="1" applyBorder="1" applyAlignment="1">
      <alignment horizontal="center"/>
    </xf>
    <xf numFmtId="0" fontId="0" fillId="0" borderId="5" xfId="0" applyFill="1" applyBorder="1" applyAlignment="1">
      <alignment horizontal="left" vertical="top" wrapText="1"/>
    </xf>
    <xf numFmtId="0" fontId="0" fillId="0" borderId="7" xfId="0" applyFill="1" applyBorder="1" applyAlignment="1">
      <alignment horizontal="left" vertical="top"/>
    </xf>
    <xf numFmtId="0" fontId="0" fillId="0" borderId="4" xfId="0" applyFill="1" applyBorder="1" applyAlignment="1">
      <alignment horizontal="left" vertical="top" wrapText="1"/>
    </xf>
    <xf numFmtId="0" fontId="0" fillId="0" borderId="12" xfId="0" applyFill="1" applyBorder="1" applyAlignment="1">
      <alignment horizontal="left" vertical="top"/>
    </xf>
    <xf numFmtId="0" fontId="0" fillId="0" borderId="8" xfId="0" applyFill="1" applyBorder="1" applyAlignment="1">
      <alignment horizontal="left" vertical="top"/>
    </xf>
    <xf numFmtId="0" fontId="0" fillId="0" borderId="10" xfId="0" applyFill="1" applyBorder="1" applyAlignment="1">
      <alignment horizontal="left" vertical="top"/>
    </xf>
    <xf numFmtId="0" fontId="0" fillId="2" borderId="5" xfId="0" applyFill="1" applyBorder="1" applyAlignment="1">
      <alignment vertical="top" wrapText="1"/>
    </xf>
    <xf numFmtId="0" fontId="0" fillId="2" borderId="7" xfId="0" applyFill="1" applyBorder="1" applyAlignment="1">
      <alignment vertical="top" wrapText="1"/>
    </xf>
    <xf numFmtId="0" fontId="0" fillId="2" borderId="4" xfId="0" applyFill="1" applyBorder="1" applyAlignment="1">
      <alignment vertical="top" wrapText="1"/>
    </xf>
    <xf numFmtId="0" fontId="0" fillId="2" borderId="12" xfId="0" applyFill="1" applyBorder="1" applyAlignment="1">
      <alignment vertical="top" wrapText="1"/>
    </xf>
    <xf numFmtId="0" fontId="0" fillId="2" borderId="8" xfId="0" applyFill="1" applyBorder="1" applyAlignment="1">
      <alignment vertical="top" wrapText="1"/>
    </xf>
    <xf numFmtId="0" fontId="0" fillId="2" borderId="10" xfId="0" applyFill="1" applyBorder="1" applyAlignment="1">
      <alignment vertical="top" wrapText="1"/>
    </xf>
    <xf numFmtId="0" fontId="0" fillId="2" borderId="7" xfId="0" applyFill="1" applyBorder="1" applyAlignment="1">
      <alignment vertical="top"/>
    </xf>
    <xf numFmtId="0" fontId="0" fillId="2" borderId="4" xfId="0" applyFill="1" applyBorder="1" applyAlignment="1">
      <alignment vertical="top"/>
    </xf>
    <xf numFmtId="0" fontId="0" fillId="2" borderId="12" xfId="0" applyFill="1" applyBorder="1" applyAlignment="1">
      <alignment vertical="top"/>
    </xf>
    <xf numFmtId="0" fontId="0" fillId="2" borderId="8" xfId="0" applyFill="1" applyBorder="1" applyAlignment="1">
      <alignment vertical="top"/>
    </xf>
    <xf numFmtId="0" fontId="0" fillId="2" borderId="10" xfId="0" applyFill="1" applyBorder="1" applyAlignment="1">
      <alignment vertical="top"/>
    </xf>
    <xf numFmtId="0" fontId="0" fillId="2" borderId="5" xfId="0" applyFill="1" applyBorder="1" applyAlignment="1">
      <alignment horizontal="left" vertical="center" wrapText="1"/>
    </xf>
    <xf numFmtId="0" fontId="0" fillId="2" borderId="7" xfId="0" applyFill="1" applyBorder="1" applyAlignment="1">
      <alignment horizontal="left" vertical="center" wrapText="1"/>
    </xf>
    <xf numFmtId="0" fontId="0" fillId="2" borderId="4" xfId="0" applyFill="1" applyBorder="1" applyAlignment="1">
      <alignment horizontal="left" vertical="center" wrapText="1"/>
    </xf>
    <xf numFmtId="0" fontId="0" fillId="2" borderId="12" xfId="0" applyFill="1" applyBorder="1" applyAlignment="1">
      <alignment horizontal="left" vertical="center" wrapText="1"/>
    </xf>
    <xf numFmtId="0" fontId="0" fillId="2" borderId="8" xfId="0" applyFill="1" applyBorder="1" applyAlignment="1">
      <alignment horizontal="left" vertical="center" wrapText="1"/>
    </xf>
    <xf numFmtId="0" fontId="0" fillId="2" borderId="10" xfId="0" applyFill="1" applyBorder="1" applyAlignment="1">
      <alignment horizontal="left" vertical="center" wrapText="1"/>
    </xf>
    <xf numFmtId="0" fontId="4" fillId="15" borderId="5" xfId="0" applyFont="1" applyFill="1" applyBorder="1" applyAlignment="1">
      <alignment horizontal="center" vertical="center"/>
    </xf>
    <xf numFmtId="0" fontId="4" fillId="15" borderId="6" xfId="0" applyFont="1" applyFill="1" applyBorder="1" applyAlignment="1">
      <alignment horizontal="center" vertical="center"/>
    </xf>
    <xf numFmtId="0" fontId="4" fillId="15" borderId="7"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9" xfId="0" applyFont="1" applyFill="1" applyBorder="1" applyAlignment="1">
      <alignment horizontal="center" vertical="center"/>
    </xf>
    <xf numFmtId="0" fontId="4" fillId="15" borderId="10" xfId="0" applyFont="1" applyFill="1" applyBorder="1" applyAlignment="1">
      <alignment horizontal="center" vertical="center"/>
    </xf>
    <xf numFmtId="0" fontId="4" fillId="14" borderId="5" xfId="0" applyFont="1" applyFill="1" applyBorder="1" applyAlignment="1">
      <alignment horizontal="center" vertical="center"/>
    </xf>
    <xf numFmtId="0" fontId="4" fillId="14" borderId="6" xfId="0" applyFont="1" applyFill="1" applyBorder="1" applyAlignment="1">
      <alignment horizontal="center" vertical="center"/>
    </xf>
    <xf numFmtId="0" fontId="4" fillId="14" borderId="7" xfId="0" applyFont="1" applyFill="1" applyBorder="1" applyAlignment="1">
      <alignment horizontal="center" vertical="center"/>
    </xf>
    <xf numFmtId="0" fontId="4" fillId="14" borderId="8" xfId="0" applyFont="1" applyFill="1" applyBorder="1" applyAlignment="1">
      <alignment horizontal="center" vertical="center"/>
    </xf>
    <xf numFmtId="0" fontId="4" fillId="14" borderId="9" xfId="0" applyFont="1" applyFill="1" applyBorder="1" applyAlignment="1">
      <alignment horizontal="center" vertical="center"/>
    </xf>
    <xf numFmtId="0" fontId="4" fillId="14" borderId="10" xfId="0" applyFont="1" applyFill="1" applyBorder="1" applyAlignment="1">
      <alignment horizontal="center" vertical="center"/>
    </xf>
    <xf numFmtId="0" fontId="0" fillId="2" borderId="1" xfId="0" applyFill="1" applyBorder="1" applyAlignment="1">
      <alignment horizontal="left" wrapText="1"/>
    </xf>
    <xf numFmtId="0" fontId="0" fillId="2" borderId="5" xfId="0" applyFill="1" applyBorder="1" applyAlignment="1">
      <alignment horizontal="left" vertical="top" wrapText="1"/>
    </xf>
    <xf numFmtId="0" fontId="0" fillId="2" borderId="6" xfId="0" applyFill="1" applyBorder="1" applyAlignment="1">
      <alignment horizontal="left" vertical="top"/>
    </xf>
    <xf numFmtId="0" fontId="0" fillId="2" borderId="7" xfId="0" applyFill="1" applyBorder="1" applyAlignment="1">
      <alignment horizontal="left" vertical="top"/>
    </xf>
    <xf numFmtId="0" fontId="0" fillId="2" borderId="4" xfId="0" applyFill="1" applyBorder="1" applyAlignment="1">
      <alignment horizontal="left" vertical="top"/>
    </xf>
    <xf numFmtId="0" fontId="0" fillId="2" borderId="0" xfId="0" applyFill="1" applyBorder="1" applyAlignment="1">
      <alignment horizontal="left" vertical="top"/>
    </xf>
    <xf numFmtId="0" fontId="0" fillId="2" borderId="12" xfId="0" applyFill="1" applyBorder="1" applyAlignment="1">
      <alignment horizontal="left" vertical="top"/>
    </xf>
    <xf numFmtId="0" fontId="0" fillId="2" borderId="8" xfId="0" applyFill="1" applyBorder="1" applyAlignment="1">
      <alignment horizontal="left" vertical="top"/>
    </xf>
    <xf numFmtId="0" fontId="0" fillId="2" borderId="9" xfId="0" applyFill="1" applyBorder="1" applyAlignment="1">
      <alignment horizontal="left" vertical="top"/>
    </xf>
    <xf numFmtId="0" fontId="0" fillId="2" borderId="10" xfId="0" applyFill="1" applyBorder="1" applyAlignment="1">
      <alignment horizontal="left" vertical="top"/>
    </xf>
    <xf numFmtId="0" fontId="12" fillId="4" borderId="2" xfId="0" applyFont="1" applyFill="1" applyBorder="1" applyAlignment="1">
      <alignment horizontal="center" wrapText="1"/>
    </xf>
    <xf numFmtId="0" fontId="12" fillId="4" borderId="11" xfId="0" applyFont="1" applyFill="1" applyBorder="1" applyAlignment="1">
      <alignment horizontal="center" wrapText="1"/>
    </xf>
    <xf numFmtId="0" fontId="12" fillId="4" borderId="3" xfId="0" applyFont="1" applyFill="1" applyBorder="1" applyAlignment="1">
      <alignment horizontal="center" wrapText="1"/>
    </xf>
    <xf numFmtId="0" fontId="0" fillId="0" borderId="6" xfId="0" applyFill="1" applyBorder="1" applyAlignment="1">
      <alignment horizontal="left" vertical="top" wrapText="1"/>
    </xf>
    <xf numFmtId="0" fontId="0" fillId="0" borderId="7" xfId="0" applyFill="1" applyBorder="1" applyAlignment="1">
      <alignment horizontal="left" vertical="top" wrapText="1"/>
    </xf>
    <xf numFmtId="0" fontId="0" fillId="0" borderId="0" xfId="0" applyFill="1" applyBorder="1" applyAlignment="1">
      <alignment horizontal="left" vertical="top" wrapText="1"/>
    </xf>
    <xf numFmtId="0" fontId="0" fillId="0" borderId="12" xfId="0" applyFill="1" applyBorder="1" applyAlignment="1">
      <alignment horizontal="left" vertical="top" wrapText="1"/>
    </xf>
    <xf numFmtId="0" fontId="0" fillId="0" borderId="8" xfId="0" applyFill="1" applyBorder="1" applyAlignment="1">
      <alignment horizontal="left" vertical="top" wrapText="1"/>
    </xf>
    <xf numFmtId="0" fontId="0" fillId="0" borderId="9" xfId="0" applyFill="1" applyBorder="1" applyAlignment="1">
      <alignment horizontal="left" vertical="top" wrapText="1"/>
    </xf>
    <xf numFmtId="0" fontId="0" fillId="0" borderId="10" xfId="0" applyFill="1" applyBorder="1" applyAlignment="1">
      <alignment horizontal="left" vertical="top" wrapText="1"/>
    </xf>
    <xf numFmtId="0" fontId="0" fillId="2" borderId="7" xfId="0" applyFill="1" applyBorder="1" applyAlignment="1">
      <alignment horizontal="left" vertical="top" wrapText="1"/>
    </xf>
    <xf numFmtId="0" fontId="0" fillId="2" borderId="4" xfId="0" applyFill="1" applyBorder="1" applyAlignment="1">
      <alignment horizontal="left" vertical="top" wrapText="1"/>
    </xf>
    <xf numFmtId="0" fontId="0" fillId="2" borderId="12" xfId="0" applyFill="1" applyBorder="1" applyAlignment="1">
      <alignment horizontal="left" vertical="top" wrapText="1"/>
    </xf>
    <xf numFmtId="0" fontId="0" fillId="2" borderId="8" xfId="0" applyFill="1" applyBorder="1" applyAlignment="1">
      <alignment horizontal="left" vertical="top" wrapText="1"/>
    </xf>
    <xf numFmtId="0" fontId="0" fillId="2" borderId="10" xfId="0" applyFill="1" applyBorder="1" applyAlignment="1">
      <alignment horizontal="left" vertical="top" wrapText="1"/>
    </xf>
    <xf numFmtId="0" fontId="10" fillId="4" borderId="1" xfId="0" applyFont="1" applyFill="1" applyBorder="1" applyAlignment="1">
      <alignment horizontal="center"/>
    </xf>
    <xf numFmtId="0" fontId="4" fillId="4" borderId="2" xfId="0" applyFont="1" applyFill="1" applyBorder="1" applyAlignment="1">
      <alignment horizontal="center" vertical="center"/>
    </xf>
    <xf numFmtId="0" fontId="4" fillId="4" borderId="11" xfId="0" applyFont="1" applyFill="1" applyBorder="1" applyAlignment="1">
      <alignment horizontal="center" vertical="center"/>
    </xf>
    <xf numFmtId="0" fontId="4" fillId="4" borderId="3" xfId="0" applyFont="1" applyFill="1" applyBorder="1" applyAlignment="1">
      <alignment horizontal="center" vertical="center"/>
    </xf>
    <xf numFmtId="0" fontId="0" fillId="2" borderId="6" xfId="0" applyFill="1" applyBorder="1" applyAlignment="1">
      <alignment horizontal="left" vertical="top" wrapText="1"/>
    </xf>
    <xf numFmtId="0" fontId="0" fillId="2" borderId="0" xfId="0" applyFill="1" applyBorder="1" applyAlignment="1">
      <alignment horizontal="left" vertical="top" wrapText="1"/>
    </xf>
    <xf numFmtId="0" fontId="0" fillId="2" borderId="9" xfId="0" applyFill="1" applyBorder="1" applyAlignment="1">
      <alignment horizontal="left" vertical="top" wrapText="1"/>
    </xf>
    <xf numFmtId="0" fontId="0" fillId="2" borderId="2" xfId="0" applyFill="1" applyBorder="1" applyAlignment="1">
      <alignment horizontal="left" vertical="top"/>
    </xf>
    <xf numFmtId="0" fontId="0" fillId="2" borderId="11" xfId="0" applyFill="1" applyBorder="1" applyAlignment="1">
      <alignment horizontal="left" vertical="top"/>
    </xf>
    <xf numFmtId="0" fontId="0" fillId="2" borderId="3" xfId="0" applyFill="1" applyBorder="1" applyAlignment="1">
      <alignment horizontal="left" vertical="top"/>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0" fontId="4" fillId="4" borderId="2"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3" xfId="0" applyFont="1" applyFill="1" applyBorder="1" applyAlignment="1">
      <alignment horizontal="center" vertical="center" wrapText="1"/>
    </xf>
  </cellXfs>
  <cellStyles count="4">
    <cellStyle name="Hipervínculo" xfId="3" builtinId="8"/>
    <cellStyle name="Moneda" xfId="1" builtinId="4"/>
    <cellStyle name="Normal" xfId="0" builtinId="0"/>
    <cellStyle name="Porcentual" xfId="2" builtinId="5"/>
  </cellStyles>
  <dxfs count="46">
    <dxf>
      <fill>
        <patternFill>
          <bgColor theme="0" tint="-0.14996795556505021"/>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ill>
        <patternFill>
          <bgColor rgb="FFFF0000"/>
        </patternFill>
      </fill>
    </dxf>
    <dxf>
      <fill>
        <patternFill>
          <bgColor rgb="FF92D05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8" Type="http://schemas.openxmlformats.org/officeDocument/2006/relationships/hyperlink" Target="#'2.9'!A1"/><Relationship Id="rId3" Type="http://schemas.openxmlformats.org/officeDocument/2006/relationships/hyperlink" Target="#'2.3'!A1"/><Relationship Id="rId7" Type="http://schemas.openxmlformats.org/officeDocument/2006/relationships/hyperlink" Target="#'2.7'!A1"/><Relationship Id="rId2" Type="http://schemas.openxmlformats.org/officeDocument/2006/relationships/hyperlink" Target="#'2.2'!A1"/><Relationship Id="rId1" Type="http://schemas.openxmlformats.org/officeDocument/2006/relationships/hyperlink" Target="#'2.1'!A1"/><Relationship Id="rId6" Type="http://schemas.openxmlformats.org/officeDocument/2006/relationships/hyperlink" Target="#'2.6'!A1"/><Relationship Id="rId11" Type="http://schemas.openxmlformats.org/officeDocument/2006/relationships/hyperlink" Target="#'2.8'!A1"/><Relationship Id="rId5" Type="http://schemas.openxmlformats.org/officeDocument/2006/relationships/hyperlink" Target="#'2.5'!A1"/><Relationship Id="rId10" Type="http://schemas.openxmlformats.org/officeDocument/2006/relationships/hyperlink" Target="#'2.11'!A1"/><Relationship Id="rId4" Type="http://schemas.openxmlformats.org/officeDocument/2006/relationships/hyperlink" Target="#'2.4'!A1"/><Relationship Id="rId9" Type="http://schemas.openxmlformats.org/officeDocument/2006/relationships/hyperlink" Target="#'2.10'!A1"/></Relationships>
</file>

<file path=xl/drawings/_rels/drawing2.xml.rels><?xml version="1.0" encoding="UTF-8" standalone="yes"?>
<Relationships xmlns="http://schemas.openxmlformats.org/package/2006/relationships"><Relationship Id="rId1" Type="http://schemas.openxmlformats.org/officeDocument/2006/relationships/hyperlink" Target="#'Mipyme Persona Jur&#237;dica '!C8"/></Relationships>
</file>

<file path=xl/drawings/_rels/drawing3.xml.rels><?xml version="1.0" encoding="UTF-8" standalone="yes"?>
<Relationships xmlns="http://schemas.openxmlformats.org/package/2006/relationships"><Relationship Id="rId1" Type="http://schemas.openxmlformats.org/officeDocument/2006/relationships/hyperlink" Target="#'Mipyme Persona Jur&#237;dica '!C22"/></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Mipyme Persona Jur&#237;dica '!C38"/></Relationships>
</file>

<file path=xl/drawings/_rels/drawing5.xml.rels><?xml version="1.0" encoding="UTF-8" standalone="yes"?>
<Relationships xmlns="http://schemas.openxmlformats.org/package/2006/relationships"><Relationship Id="rId1" Type="http://schemas.openxmlformats.org/officeDocument/2006/relationships/hyperlink" Target="#'Mipyme Persona Jur&#237;dica '!C63"/></Relationships>
</file>

<file path=xl/drawings/_rels/drawing6.xml.rels><?xml version="1.0" encoding="UTF-8" standalone="yes"?>
<Relationships xmlns="http://schemas.openxmlformats.org/package/2006/relationships"><Relationship Id="rId1" Type="http://schemas.openxmlformats.org/officeDocument/2006/relationships/hyperlink" Target="#'Mipyme Persona Jur&#237;dica '!C87"/></Relationships>
</file>

<file path=xl/drawings/_rels/drawing7.xml.rels><?xml version="1.0" encoding="UTF-8" standalone="yes"?>
<Relationships xmlns="http://schemas.openxmlformats.org/package/2006/relationships"><Relationship Id="rId1" Type="http://schemas.openxmlformats.org/officeDocument/2006/relationships/hyperlink" Target="#'Mipyme Persona Jur&#237;dica '!A118"/></Relationships>
</file>

<file path=xl/drawings/_rels/drawing8.xml.rels><?xml version="1.0" encoding="UTF-8" standalone="yes"?>
<Relationships xmlns="http://schemas.openxmlformats.org/package/2006/relationships"><Relationship Id="rId1" Type="http://schemas.openxmlformats.org/officeDocument/2006/relationships/hyperlink" Target="#'Mipyme Persona Jur&#237;dica '!C121"/></Relationships>
</file>

<file path=xl/drawings/_rels/drawing9.xml.rels><?xml version="1.0" encoding="UTF-8" standalone="yes"?>
<Relationships xmlns="http://schemas.openxmlformats.org/package/2006/relationships"><Relationship Id="rId1" Type="http://schemas.openxmlformats.org/officeDocument/2006/relationships/hyperlink" Target="#'Mipyme Persona Jur&#237;dica '!C185"/></Relationships>
</file>

<file path=xl/drawings/_rels/drawing10.xml.rels><?xml version="1.0" encoding="UTF-8" standalone="yes"?>
<Relationships xmlns="http://schemas.openxmlformats.org/package/2006/relationships"><Relationship Id="rId1" Type="http://schemas.openxmlformats.org/officeDocument/2006/relationships/hyperlink" Target="#'Mipyme Persona Jur&#237;dica '!C134"/></Relationships>
</file>

<file path=xl/drawings/_rels/drawing11.xml.rels><?xml version="1.0" encoding="UTF-8" standalone="yes"?>
<Relationships xmlns="http://schemas.openxmlformats.org/package/2006/relationships"><Relationship Id="rId8" Type="http://schemas.openxmlformats.org/officeDocument/2006/relationships/image" Target="../media/image9.jpeg"/><Relationship Id="rId3" Type="http://schemas.openxmlformats.org/officeDocument/2006/relationships/image" Target="../media/image4.jpeg"/><Relationship Id="rId7" Type="http://schemas.openxmlformats.org/officeDocument/2006/relationships/image" Target="../media/image8.jpeg"/><Relationship Id="rId2" Type="http://schemas.openxmlformats.org/officeDocument/2006/relationships/image" Target="../media/image3.jpeg"/><Relationship Id="rId1" Type="http://schemas.openxmlformats.org/officeDocument/2006/relationships/hyperlink" Target="#'Mipyme Persona Jur&#237;dica '!C175"/><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 Id="rId9"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hyperlink" Target="#'Mipyme Persona Jur&#237;dica '!C195"/></Relationships>
</file>

<file path=xl/drawings/drawing1.xml><?xml version="1.0" encoding="utf-8"?>
<xdr:wsDr xmlns:xdr="http://schemas.openxmlformats.org/drawingml/2006/spreadsheetDrawing" xmlns:a="http://schemas.openxmlformats.org/drawingml/2006/main">
  <xdr:twoCellAnchor>
    <xdr:from>
      <xdr:col>0</xdr:col>
      <xdr:colOff>163285</xdr:colOff>
      <xdr:row>6</xdr:row>
      <xdr:rowOff>163287</xdr:rowOff>
    </xdr:from>
    <xdr:to>
      <xdr:col>0</xdr:col>
      <xdr:colOff>1660071</xdr:colOff>
      <xdr:row>8</xdr:row>
      <xdr:rowOff>1</xdr:rowOff>
    </xdr:to>
    <xdr:sp macro="" textlink="">
      <xdr:nvSpPr>
        <xdr:cNvPr id="2" name="1 Rectángulo redondeado">
          <a:hlinkClick xmlns:r="http://schemas.openxmlformats.org/officeDocument/2006/relationships" r:id="rId1"/>
        </xdr:cNvPr>
        <xdr:cNvSpPr/>
      </xdr:nvSpPr>
      <xdr:spPr>
        <a:xfrm>
          <a:off x="163285" y="1319894"/>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Ejemplo</a:t>
          </a:r>
        </a:p>
      </xdr:txBody>
    </xdr:sp>
    <xdr:clientData/>
  </xdr:twoCellAnchor>
  <xdr:twoCellAnchor>
    <xdr:from>
      <xdr:col>0</xdr:col>
      <xdr:colOff>125185</xdr:colOff>
      <xdr:row>20</xdr:row>
      <xdr:rowOff>166008</xdr:rowOff>
    </xdr:from>
    <xdr:to>
      <xdr:col>0</xdr:col>
      <xdr:colOff>1621971</xdr:colOff>
      <xdr:row>22</xdr:row>
      <xdr:rowOff>57151</xdr:rowOff>
    </xdr:to>
    <xdr:sp macro="" textlink="">
      <xdr:nvSpPr>
        <xdr:cNvPr id="3" name="2 Rectángulo redondeado">
          <a:hlinkClick xmlns:r="http://schemas.openxmlformats.org/officeDocument/2006/relationships" r:id="rId2"/>
        </xdr:cNvPr>
        <xdr:cNvSpPr/>
      </xdr:nvSpPr>
      <xdr:spPr>
        <a:xfrm>
          <a:off x="125185" y="4044044"/>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Ejemplo</a:t>
          </a:r>
        </a:p>
      </xdr:txBody>
    </xdr:sp>
    <xdr:clientData/>
  </xdr:twoCellAnchor>
  <xdr:twoCellAnchor>
    <xdr:from>
      <xdr:col>3</xdr:col>
      <xdr:colOff>1061358</xdr:colOff>
      <xdr:row>203</xdr:row>
      <xdr:rowOff>27214</xdr:rowOff>
    </xdr:from>
    <xdr:to>
      <xdr:col>4</xdr:col>
      <xdr:colOff>557894</xdr:colOff>
      <xdr:row>204</xdr:row>
      <xdr:rowOff>108857</xdr:rowOff>
    </xdr:to>
    <xdr:sp macro="[0]!Validar" textlink="">
      <xdr:nvSpPr>
        <xdr:cNvPr id="4" name="3 Rectángulo redondeado"/>
        <xdr:cNvSpPr/>
      </xdr:nvSpPr>
      <xdr:spPr>
        <a:xfrm>
          <a:off x="7007679" y="45216535"/>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Validar</a:t>
          </a:r>
        </a:p>
      </xdr:txBody>
    </xdr:sp>
    <xdr:clientData/>
  </xdr:twoCellAnchor>
  <xdr:twoCellAnchor>
    <xdr:from>
      <xdr:col>0</xdr:col>
      <xdr:colOff>217714</xdr:colOff>
      <xdr:row>37</xdr:row>
      <xdr:rowOff>122465</xdr:rowOff>
    </xdr:from>
    <xdr:to>
      <xdr:col>0</xdr:col>
      <xdr:colOff>1714500</xdr:colOff>
      <xdr:row>38</xdr:row>
      <xdr:rowOff>68037</xdr:rowOff>
    </xdr:to>
    <xdr:sp macro="" textlink="">
      <xdr:nvSpPr>
        <xdr:cNvPr id="5" name="4 Rectángulo redondeado">
          <a:hlinkClick xmlns:r="http://schemas.openxmlformats.org/officeDocument/2006/relationships" r:id="rId3"/>
        </xdr:cNvPr>
        <xdr:cNvSpPr/>
      </xdr:nvSpPr>
      <xdr:spPr>
        <a:xfrm>
          <a:off x="217714" y="7647215"/>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122466</xdr:colOff>
      <xdr:row>61</xdr:row>
      <xdr:rowOff>95250</xdr:rowOff>
    </xdr:from>
    <xdr:to>
      <xdr:col>0</xdr:col>
      <xdr:colOff>1374324</xdr:colOff>
      <xdr:row>63</xdr:row>
      <xdr:rowOff>13608</xdr:rowOff>
    </xdr:to>
    <xdr:sp macro="" textlink="">
      <xdr:nvSpPr>
        <xdr:cNvPr id="6" name="5 Rectángulo redondeado">
          <a:hlinkClick xmlns:r="http://schemas.openxmlformats.org/officeDocument/2006/relationships" r:id="rId4"/>
        </xdr:cNvPr>
        <xdr:cNvSpPr/>
      </xdr:nvSpPr>
      <xdr:spPr>
        <a:xfrm>
          <a:off x="122466" y="16002000"/>
          <a:ext cx="1251858" cy="29935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272143</xdr:colOff>
      <xdr:row>85</xdr:row>
      <xdr:rowOff>176893</xdr:rowOff>
    </xdr:from>
    <xdr:to>
      <xdr:col>0</xdr:col>
      <xdr:colOff>1491343</xdr:colOff>
      <xdr:row>86</xdr:row>
      <xdr:rowOff>258536</xdr:rowOff>
    </xdr:to>
    <xdr:sp macro="" textlink="">
      <xdr:nvSpPr>
        <xdr:cNvPr id="7" name="6 Rectángulo redondeado">
          <a:hlinkClick xmlns:r="http://schemas.openxmlformats.org/officeDocument/2006/relationships" r:id="rId5"/>
        </xdr:cNvPr>
        <xdr:cNvSpPr/>
      </xdr:nvSpPr>
      <xdr:spPr>
        <a:xfrm>
          <a:off x="272143" y="21023036"/>
          <a:ext cx="1219200"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95251</xdr:colOff>
      <xdr:row>116</xdr:row>
      <xdr:rowOff>27216</xdr:rowOff>
    </xdr:from>
    <xdr:to>
      <xdr:col>1</xdr:col>
      <xdr:colOff>13607</xdr:colOff>
      <xdr:row>120</xdr:row>
      <xdr:rowOff>1</xdr:rowOff>
    </xdr:to>
    <xdr:sp macro="" textlink="">
      <xdr:nvSpPr>
        <xdr:cNvPr id="8" name="7 Rectángulo redondeado">
          <a:hlinkClick xmlns:r="http://schemas.openxmlformats.org/officeDocument/2006/relationships" r:id="rId6"/>
        </xdr:cNvPr>
        <xdr:cNvSpPr/>
      </xdr:nvSpPr>
      <xdr:spPr>
        <a:xfrm>
          <a:off x="95251" y="26955752"/>
          <a:ext cx="1415142" cy="78921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Gastos elegibles</a:t>
          </a:r>
          <a:r>
            <a:rPr lang="es-EC" sz="1600" baseline="0"/>
            <a:t> y no elegibles</a:t>
          </a:r>
          <a:endParaRPr lang="es-EC" sz="1600"/>
        </a:p>
      </xdr:txBody>
    </xdr:sp>
    <xdr:clientData/>
  </xdr:twoCellAnchor>
  <xdr:twoCellAnchor>
    <xdr:from>
      <xdr:col>0</xdr:col>
      <xdr:colOff>40822</xdr:colOff>
      <xdr:row>123</xdr:row>
      <xdr:rowOff>40821</xdr:rowOff>
    </xdr:from>
    <xdr:to>
      <xdr:col>0</xdr:col>
      <xdr:colOff>1428751</xdr:colOff>
      <xdr:row>126</xdr:row>
      <xdr:rowOff>27214</xdr:rowOff>
    </xdr:to>
    <xdr:sp macro="" textlink="">
      <xdr:nvSpPr>
        <xdr:cNvPr id="9" name="8 Rectángulo redondeado">
          <a:hlinkClick xmlns:r="http://schemas.openxmlformats.org/officeDocument/2006/relationships" r:id="rId7"/>
        </xdr:cNvPr>
        <xdr:cNvSpPr/>
      </xdr:nvSpPr>
      <xdr:spPr>
        <a:xfrm>
          <a:off x="40822" y="30575250"/>
          <a:ext cx="1387929" cy="5578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Instrucciones de la tabla</a:t>
          </a:r>
        </a:p>
      </xdr:txBody>
    </xdr:sp>
    <xdr:clientData/>
  </xdr:twoCellAnchor>
  <xdr:twoCellAnchor>
    <xdr:from>
      <xdr:col>0</xdr:col>
      <xdr:colOff>40823</xdr:colOff>
      <xdr:row>134</xdr:row>
      <xdr:rowOff>68035</xdr:rowOff>
    </xdr:from>
    <xdr:to>
      <xdr:col>0</xdr:col>
      <xdr:colOff>1428751</xdr:colOff>
      <xdr:row>136</xdr:row>
      <xdr:rowOff>326572</xdr:rowOff>
    </xdr:to>
    <xdr:sp macro="" textlink="">
      <xdr:nvSpPr>
        <xdr:cNvPr id="10" name="9 Rectángulo redondeado">
          <a:hlinkClick xmlns:r="http://schemas.openxmlformats.org/officeDocument/2006/relationships" r:id="rId8"/>
        </xdr:cNvPr>
        <xdr:cNvSpPr/>
      </xdr:nvSpPr>
      <xdr:spPr>
        <a:xfrm>
          <a:off x="40823" y="32956499"/>
          <a:ext cx="1387928" cy="63953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Instrucciones</a:t>
          </a:r>
          <a:r>
            <a:rPr lang="es-EC" sz="1600" baseline="0"/>
            <a:t> de la tabla</a:t>
          </a:r>
          <a:endParaRPr lang="es-EC" sz="1600"/>
        </a:p>
      </xdr:txBody>
    </xdr:sp>
    <xdr:clientData/>
  </xdr:twoCellAnchor>
  <xdr:twoCellAnchor>
    <xdr:from>
      <xdr:col>0</xdr:col>
      <xdr:colOff>108857</xdr:colOff>
      <xdr:row>175</xdr:row>
      <xdr:rowOff>149678</xdr:rowOff>
    </xdr:from>
    <xdr:to>
      <xdr:col>0</xdr:col>
      <xdr:colOff>1431471</xdr:colOff>
      <xdr:row>177</xdr:row>
      <xdr:rowOff>13607</xdr:rowOff>
    </xdr:to>
    <xdr:sp macro="" textlink="">
      <xdr:nvSpPr>
        <xdr:cNvPr id="11" name="10 Rectángulo redondeado">
          <a:hlinkClick xmlns:r="http://schemas.openxmlformats.org/officeDocument/2006/relationships" r:id="rId9"/>
        </xdr:cNvPr>
        <xdr:cNvSpPr/>
      </xdr:nvSpPr>
      <xdr:spPr>
        <a:xfrm>
          <a:off x="108857" y="43270714"/>
          <a:ext cx="1322614" cy="2449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Instrucciones</a:t>
          </a:r>
        </a:p>
      </xdr:txBody>
    </xdr:sp>
    <xdr:clientData/>
  </xdr:twoCellAnchor>
  <xdr:twoCellAnchor>
    <xdr:from>
      <xdr:col>0</xdr:col>
      <xdr:colOff>108858</xdr:colOff>
      <xdr:row>198</xdr:row>
      <xdr:rowOff>136071</xdr:rowOff>
    </xdr:from>
    <xdr:to>
      <xdr:col>0</xdr:col>
      <xdr:colOff>1430113</xdr:colOff>
      <xdr:row>199</xdr:row>
      <xdr:rowOff>272142</xdr:rowOff>
    </xdr:to>
    <xdr:sp macro="" textlink="">
      <xdr:nvSpPr>
        <xdr:cNvPr id="12" name="11 Rectángulo redondeado">
          <a:hlinkClick xmlns:r="http://schemas.openxmlformats.org/officeDocument/2006/relationships" r:id="rId10"/>
        </xdr:cNvPr>
        <xdr:cNvSpPr/>
      </xdr:nvSpPr>
      <xdr:spPr>
        <a:xfrm>
          <a:off x="108858" y="48441428"/>
          <a:ext cx="1321255" cy="31296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122465</xdr:colOff>
      <xdr:row>187</xdr:row>
      <xdr:rowOff>81644</xdr:rowOff>
    </xdr:from>
    <xdr:to>
      <xdr:col>0</xdr:col>
      <xdr:colOff>1398817</xdr:colOff>
      <xdr:row>187</xdr:row>
      <xdr:rowOff>326572</xdr:rowOff>
    </xdr:to>
    <xdr:sp macro="" textlink="">
      <xdr:nvSpPr>
        <xdr:cNvPr id="13" name="12 Rectángulo redondeado">
          <a:hlinkClick xmlns:r="http://schemas.openxmlformats.org/officeDocument/2006/relationships" r:id="rId11"/>
        </xdr:cNvPr>
        <xdr:cNvSpPr/>
      </xdr:nvSpPr>
      <xdr:spPr>
        <a:xfrm>
          <a:off x="122465" y="46250680"/>
          <a:ext cx="1276352" cy="2449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36634</xdr:colOff>
      <xdr:row>2</xdr:row>
      <xdr:rowOff>139211</xdr:rowOff>
    </xdr:from>
    <xdr:to>
      <xdr:col>0</xdr:col>
      <xdr:colOff>857249</xdr:colOff>
      <xdr:row>3</xdr:row>
      <xdr:rowOff>168520</xdr:rowOff>
    </xdr:to>
    <xdr:sp macro="" textlink="">
      <xdr:nvSpPr>
        <xdr:cNvPr id="2" name="1 Rectángulo redondeado">
          <a:hlinkClick xmlns:r="http://schemas.openxmlformats.org/officeDocument/2006/relationships" r:id="rId1"/>
        </xdr:cNvPr>
        <xdr:cNvSpPr/>
      </xdr:nvSpPr>
      <xdr:spPr>
        <a:xfrm>
          <a:off x="36634" y="520211"/>
          <a:ext cx="820615" cy="27109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23814</xdr:colOff>
      <xdr:row>4</xdr:row>
      <xdr:rowOff>0</xdr:rowOff>
    </xdr:from>
    <xdr:to>
      <xdr:col>0</xdr:col>
      <xdr:colOff>857252</xdr:colOff>
      <xdr:row>5</xdr:row>
      <xdr:rowOff>15875</xdr:rowOff>
    </xdr:to>
    <xdr:sp macro="" textlink="">
      <xdr:nvSpPr>
        <xdr:cNvPr id="2" name="1 Rectángulo redondeado">
          <a:hlinkClick xmlns:r="http://schemas.openxmlformats.org/officeDocument/2006/relationships" r:id="rId1"/>
        </xdr:cNvPr>
        <xdr:cNvSpPr/>
      </xdr:nvSpPr>
      <xdr:spPr>
        <a:xfrm>
          <a:off x="23814" y="762000"/>
          <a:ext cx="833438" cy="206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endParaRPr lang="es-EC" sz="16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3</xdr:row>
      <xdr:rowOff>19051</xdr:rowOff>
    </xdr:from>
    <xdr:to>
      <xdr:col>0</xdr:col>
      <xdr:colOff>1466850</xdr:colOff>
      <xdr:row>4</xdr:row>
      <xdr:rowOff>38101</xdr:rowOff>
    </xdr:to>
    <xdr:sp macro="" textlink="">
      <xdr:nvSpPr>
        <xdr:cNvPr id="2" name="1 Rectángulo redondeado">
          <a:hlinkClick xmlns:r="http://schemas.openxmlformats.org/officeDocument/2006/relationships" r:id="rId1"/>
        </xdr:cNvPr>
        <xdr:cNvSpPr/>
      </xdr:nvSpPr>
      <xdr:spPr>
        <a:xfrm>
          <a:off x="209550" y="638176"/>
          <a:ext cx="1257300" cy="2095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twoCellAnchor editAs="oneCell">
    <xdr:from>
      <xdr:col>1</xdr:col>
      <xdr:colOff>612318</xdr:colOff>
      <xdr:row>6</xdr:row>
      <xdr:rowOff>107117</xdr:rowOff>
    </xdr:from>
    <xdr:to>
      <xdr:col>2</xdr:col>
      <xdr:colOff>2023378</xdr:colOff>
      <xdr:row>22</xdr:row>
      <xdr:rowOff>104775</xdr:rowOff>
    </xdr:to>
    <xdr:pic>
      <xdr:nvPicPr>
        <xdr:cNvPr id="3" name="2 Imagen" descr="2.jpg"/>
        <xdr:cNvPicPr>
          <a:picLocks noChangeAspect="1"/>
        </xdr:cNvPicPr>
      </xdr:nvPicPr>
      <xdr:blipFill>
        <a:blip xmlns:r="http://schemas.openxmlformats.org/officeDocument/2006/relationships" r:embed="rId2"/>
        <a:stretch>
          <a:fillRect/>
        </a:stretch>
      </xdr:blipFill>
      <xdr:spPr>
        <a:xfrm>
          <a:off x="2666997" y="1304546"/>
          <a:ext cx="4445452" cy="3045658"/>
        </a:xfrm>
        <a:prstGeom prst="rect">
          <a:avLst/>
        </a:prstGeom>
      </xdr:spPr>
    </xdr:pic>
    <xdr:clientData/>
  </xdr:twoCellAnchor>
  <xdr:twoCellAnchor editAs="oneCell">
    <xdr:from>
      <xdr:col>1</xdr:col>
      <xdr:colOff>163286</xdr:colOff>
      <xdr:row>27</xdr:row>
      <xdr:rowOff>112939</xdr:rowOff>
    </xdr:from>
    <xdr:to>
      <xdr:col>2</xdr:col>
      <xdr:colOff>2295524</xdr:colOff>
      <xdr:row>62</xdr:row>
      <xdr:rowOff>171451</xdr:rowOff>
    </xdr:to>
    <xdr:pic>
      <xdr:nvPicPr>
        <xdr:cNvPr id="4" name="3 Imagen" descr="1.jpg"/>
        <xdr:cNvPicPr>
          <a:picLocks noChangeAspect="1"/>
        </xdr:cNvPicPr>
      </xdr:nvPicPr>
      <xdr:blipFill>
        <a:blip xmlns:r="http://schemas.openxmlformats.org/officeDocument/2006/relationships" r:embed="rId3"/>
        <a:stretch>
          <a:fillRect/>
        </a:stretch>
      </xdr:blipFill>
      <xdr:spPr>
        <a:xfrm>
          <a:off x="2211161" y="5304064"/>
          <a:ext cx="5170713" cy="672601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xdr:row>
      <xdr:rowOff>1</xdr:rowOff>
    </xdr:from>
    <xdr:to>
      <xdr:col>0</xdr:col>
      <xdr:colOff>1019175</xdr:colOff>
      <xdr:row>4</xdr:row>
      <xdr:rowOff>152401</xdr:rowOff>
    </xdr:to>
    <xdr:sp macro="" textlink="">
      <xdr:nvSpPr>
        <xdr:cNvPr id="2" name="1 Rectángulo redondeado">
          <a:hlinkClick xmlns:r="http://schemas.openxmlformats.org/officeDocument/2006/relationships" r:id="rId1"/>
        </xdr:cNvPr>
        <xdr:cNvSpPr/>
      </xdr:nvSpPr>
      <xdr:spPr>
        <a:xfrm>
          <a:off x="0" y="809626"/>
          <a:ext cx="1019175" cy="152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Ejemplo</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428625</xdr:rowOff>
    </xdr:from>
    <xdr:to>
      <xdr:col>0</xdr:col>
      <xdr:colOff>1496786</xdr:colOff>
      <xdr:row>2</xdr:row>
      <xdr:rowOff>700768</xdr:rowOff>
    </xdr:to>
    <xdr:sp macro="" textlink="">
      <xdr:nvSpPr>
        <xdr:cNvPr id="2" name="1 Rectángulo redondeado">
          <a:hlinkClick xmlns:r="http://schemas.openxmlformats.org/officeDocument/2006/relationships" r:id="rId1"/>
        </xdr:cNvPr>
        <xdr:cNvSpPr/>
      </xdr:nvSpPr>
      <xdr:spPr>
        <a:xfrm>
          <a:off x="0" y="809625"/>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4</xdr:row>
      <xdr:rowOff>23813</xdr:rowOff>
    </xdr:from>
    <xdr:to>
      <xdr:col>0</xdr:col>
      <xdr:colOff>1273969</xdr:colOff>
      <xdr:row>5</xdr:row>
      <xdr:rowOff>107156</xdr:rowOff>
    </xdr:to>
    <xdr:sp macro="" textlink="">
      <xdr:nvSpPr>
        <xdr:cNvPr id="2" name="1 Rectángulo redondeado">
          <a:hlinkClick xmlns:r="http://schemas.openxmlformats.org/officeDocument/2006/relationships" r:id="rId1"/>
        </xdr:cNvPr>
        <xdr:cNvSpPr/>
      </xdr:nvSpPr>
      <xdr:spPr>
        <a:xfrm>
          <a:off x="0" y="785813"/>
          <a:ext cx="1273969" cy="2738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3</xdr:row>
      <xdr:rowOff>0</xdr:rowOff>
    </xdr:from>
    <xdr:to>
      <xdr:col>1</xdr:col>
      <xdr:colOff>318067</xdr:colOff>
      <xdr:row>3</xdr:row>
      <xdr:rowOff>272143</xdr:rowOff>
    </xdr:to>
    <xdr:sp macro="" textlink="">
      <xdr:nvSpPr>
        <xdr:cNvPr id="2" name="1 Rectángulo redondeado">
          <a:hlinkClick xmlns:r="http://schemas.openxmlformats.org/officeDocument/2006/relationships" r:id="rId1"/>
        </xdr:cNvPr>
        <xdr:cNvSpPr/>
      </xdr:nvSpPr>
      <xdr:spPr>
        <a:xfrm>
          <a:off x="0" y="571500"/>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4</xdr:row>
      <xdr:rowOff>0</xdr:rowOff>
    </xdr:from>
    <xdr:to>
      <xdr:col>0</xdr:col>
      <xdr:colOff>1133475</xdr:colOff>
      <xdr:row>5</xdr:row>
      <xdr:rowOff>47625</xdr:rowOff>
    </xdr:to>
    <xdr:sp macro="" textlink="">
      <xdr:nvSpPr>
        <xdr:cNvPr id="2" name="1 Rectángulo redondeado">
          <a:hlinkClick xmlns:r="http://schemas.openxmlformats.org/officeDocument/2006/relationships" r:id="rId1"/>
        </xdr:cNvPr>
        <xdr:cNvSpPr/>
      </xdr:nvSpPr>
      <xdr:spPr>
        <a:xfrm>
          <a:off x="0" y="809625"/>
          <a:ext cx="113347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3</xdr:row>
      <xdr:rowOff>0</xdr:rowOff>
    </xdr:from>
    <xdr:to>
      <xdr:col>0</xdr:col>
      <xdr:colOff>1496786</xdr:colOff>
      <xdr:row>4</xdr:row>
      <xdr:rowOff>81643</xdr:rowOff>
    </xdr:to>
    <xdr:sp macro="" textlink="">
      <xdr:nvSpPr>
        <xdr:cNvPr id="2" name="1 Rectángulo redondeado">
          <a:hlinkClick xmlns:r="http://schemas.openxmlformats.org/officeDocument/2006/relationships" r:id="rId1"/>
        </xdr:cNvPr>
        <xdr:cNvSpPr/>
      </xdr:nvSpPr>
      <xdr:spPr>
        <a:xfrm>
          <a:off x="0" y="571500"/>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4</xdr:row>
      <xdr:rowOff>0</xdr:rowOff>
    </xdr:from>
    <xdr:to>
      <xdr:col>0</xdr:col>
      <xdr:colOff>1418167</xdr:colOff>
      <xdr:row>5</xdr:row>
      <xdr:rowOff>81643</xdr:rowOff>
    </xdr:to>
    <xdr:sp macro="" textlink="">
      <xdr:nvSpPr>
        <xdr:cNvPr id="2" name="1 Rectángulo redondeado">
          <a:hlinkClick xmlns:r="http://schemas.openxmlformats.org/officeDocument/2006/relationships" r:id="rId1"/>
        </xdr:cNvPr>
        <xdr:cNvSpPr/>
      </xdr:nvSpPr>
      <xdr:spPr>
        <a:xfrm>
          <a:off x="0" y="762000"/>
          <a:ext cx="1418167"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twoCellAnchor editAs="oneCell">
    <xdr:from>
      <xdr:col>4</xdr:col>
      <xdr:colOff>269876</xdr:colOff>
      <xdr:row>30</xdr:row>
      <xdr:rowOff>74084</xdr:rowOff>
    </xdr:from>
    <xdr:to>
      <xdr:col>7</xdr:col>
      <xdr:colOff>384176</xdr:colOff>
      <xdr:row>37</xdr:row>
      <xdr:rowOff>55034</xdr:rowOff>
    </xdr:to>
    <xdr:pic>
      <xdr:nvPicPr>
        <xdr:cNvPr id="3" name="2 Imagen" descr="1.jpg"/>
        <xdr:cNvPicPr>
          <a:picLocks noChangeAspect="1"/>
        </xdr:cNvPicPr>
      </xdr:nvPicPr>
      <xdr:blipFill>
        <a:blip xmlns:r="http://schemas.openxmlformats.org/officeDocument/2006/relationships" r:embed="rId2"/>
        <a:stretch>
          <a:fillRect/>
        </a:stretch>
      </xdr:blipFill>
      <xdr:spPr>
        <a:xfrm>
          <a:off x="4518026" y="5798609"/>
          <a:ext cx="2400300" cy="1314450"/>
        </a:xfrm>
        <a:prstGeom prst="rect">
          <a:avLst/>
        </a:prstGeom>
      </xdr:spPr>
    </xdr:pic>
    <xdr:clientData/>
  </xdr:twoCellAnchor>
  <xdr:twoCellAnchor editAs="oneCell">
    <xdr:from>
      <xdr:col>2</xdr:col>
      <xdr:colOff>269875</xdr:colOff>
      <xdr:row>40</xdr:row>
      <xdr:rowOff>79375</xdr:rowOff>
    </xdr:from>
    <xdr:to>
      <xdr:col>9</xdr:col>
      <xdr:colOff>180361</xdr:colOff>
      <xdr:row>55</xdr:row>
      <xdr:rowOff>123824</xdr:rowOff>
    </xdr:to>
    <xdr:pic>
      <xdr:nvPicPr>
        <xdr:cNvPr id="4" name="3 Imagen" descr="2.jpg"/>
        <xdr:cNvPicPr>
          <a:picLocks noChangeAspect="1"/>
        </xdr:cNvPicPr>
      </xdr:nvPicPr>
      <xdr:blipFill>
        <a:blip xmlns:r="http://schemas.openxmlformats.org/officeDocument/2006/relationships" r:embed="rId3"/>
        <a:stretch>
          <a:fillRect/>
        </a:stretch>
      </xdr:blipFill>
      <xdr:spPr>
        <a:xfrm>
          <a:off x="2994025" y="7708900"/>
          <a:ext cx="5244486" cy="2901949"/>
        </a:xfrm>
        <a:prstGeom prst="rect">
          <a:avLst/>
        </a:prstGeom>
      </xdr:spPr>
    </xdr:pic>
    <xdr:clientData/>
  </xdr:twoCellAnchor>
  <xdr:twoCellAnchor editAs="oneCell">
    <xdr:from>
      <xdr:col>4</xdr:col>
      <xdr:colOff>79375</xdr:colOff>
      <xdr:row>60</xdr:row>
      <xdr:rowOff>79375</xdr:rowOff>
    </xdr:from>
    <xdr:to>
      <xdr:col>8</xdr:col>
      <xdr:colOff>107950</xdr:colOff>
      <xdr:row>82</xdr:row>
      <xdr:rowOff>12700</xdr:rowOff>
    </xdr:to>
    <xdr:pic>
      <xdr:nvPicPr>
        <xdr:cNvPr id="5" name="4 Imagen" descr="3.jpg"/>
        <xdr:cNvPicPr>
          <a:picLocks noChangeAspect="1"/>
        </xdr:cNvPicPr>
      </xdr:nvPicPr>
      <xdr:blipFill>
        <a:blip xmlns:r="http://schemas.openxmlformats.org/officeDocument/2006/relationships" r:embed="rId4"/>
        <a:stretch>
          <a:fillRect/>
        </a:stretch>
      </xdr:blipFill>
      <xdr:spPr>
        <a:xfrm>
          <a:off x="4327525" y="11518900"/>
          <a:ext cx="3076575" cy="4124325"/>
        </a:xfrm>
        <a:prstGeom prst="rect">
          <a:avLst/>
        </a:prstGeom>
      </xdr:spPr>
    </xdr:pic>
    <xdr:clientData/>
  </xdr:twoCellAnchor>
  <xdr:twoCellAnchor editAs="oneCell">
    <xdr:from>
      <xdr:col>4</xdr:col>
      <xdr:colOff>31750</xdr:colOff>
      <xdr:row>87</xdr:row>
      <xdr:rowOff>47625</xdr:rowOff>
    </xdr:from>
    <xdr:to>
      <xdr:col>8</xdr:col>
      <xdr:colOff>28954</xdr:colOff>
      <xdr:row>105</xdr:row>
      <xdr:rowOff>47625</xdr:rowOff>
    </xdr:to>
    <xdr:pic>
      <xdr:nvPicPr>
        <xdr:cNvPr id="6" name="5 Imagen" descr="4.jpg"/>
        <xdr:cNvPicPr>
          <a:picLocks noChangeAspect="1"/>
        </xdr:cNvPicPr>
      </xdr:nvPicPr>
      <xdr:blipFill>
        <a:blip xmlns:r="http://schemas.openxmlformats.org/officeDocument/2006/relationships" r:embed="rId5"/>
        <a:stretch>
          <a:fillRect/>
        </a:stretch>
      </xdr:blipFill>
      <xdr:spPr>
        <a:xfrm>
          <a:off x="4279900" y="16630650"/>
          <a:ext cx="3045204" cy="3429000"/>
        </a:xfrm>
        <a:prstGeom prst="rect">
          <a:avLst/>
        </a:prstGeom>
      </xdr:spPr>
    </xdr:pic>
    <xdr:clientData/>
  </xdr:twoCellAnchor>
  <xdr:twoCellAnchor editAs="oneCell">
    <xdr:from>
      <xdr:col>4</xdr:col>
      <xdr:colOff>15874</xdr:colOff>
      <xdr:row>110</xdr:row>
      <xdr:rowOff>63500</xdr:rowOff>
    </xdr:from>
    <xdr:to>
      <xdr:col>8</xdr:col>
      <xdr:colOff>158749</xdr:colOff>
      <xdr:row>127</xdr:row>
      <xdr:rowOff>158750</xdr:rowOff>
    </xdr:to>
    <xdr:pic>
      <xdr:nvPicPr>
        <xdr:cNvPr id="7" name="6 Imagen" descr="5.jpg"/>
        <xdr:cNvPicPr>
          <a:picLocks noChangeAspect="1"/>
        </xdr:cNvPicPr>
      </xdr:nvPicPr>
      <xdr:blipFill>
        <a:blip xmlns:r="http://schemas.openxmlformats.org/officeDocument/2006/relationships" r:embed="rId6"/>
        <a:stretch>
          <a:fillRect/>
        </a:stretch>
      </xdr:blipFill>
      <xdr:spPr>
        <a:xfrm>
          <a:off x="4264024" y="21028025"/>
          <a:ext cx="3190875" cy="3333750"/>
        </a:xfrm>
        <a:prstGeom prst="rect">
          <a:avLst/>
        </a:prstGeom>
      </xdr:spPr>
    </xdr:pic>
    <xdr:clientData/>
  </xdr:twoCellAnchor>
  <xdr:twoCellAnchor editAs="oneCell">
    <xdr:from>
      <xdr:col>4</xdr:col>
      <xdr:colOff>0</xdr:colOff>
      <xdr:row>132</xdr:row>
      <xdr:rowOff>31750</xdr:rowOff>
    </xdr:from>
    <xdr:to>
      <xdr:col>7</xdr:col>
      <xdr:colOff>600075</xdr:colOff>
      <xdr:row>153</xdr:row>
      <xdr:rowOff>117475</xdr:rowOff>
    </xdr:to>
    <xdr:pic>
      <xdr:nvPicPr>
        <xdr:cNvPr id="8" name="7 Imagen" descr="6.jpg"/>
        <xdr:cNvPicPr>
          <a:picLocks noChangeAspect="1"/>
        </xdr:cNvPicPr>
      </xdr:nvPicPr>
      <xdr:blipFill>
        <a:blip xmlns:r="http://schemas.openxmlformats.org/officeDocument/2006/relationships" r:embed="rId7"/>
        <a:stretch>
          <a:fillRect/>
        </a:stretch>
      </xdr:blipFill>
      <xdr:spPr>
        <a:xfrm>
          <a:off x="4248150" y="25187275"/>
          <a:ext cx="2886075" cy="4086225"/>
        </a:xfrm>
        <a:prstGeom prst="rect">
          <a:avLst/>
        </a:prstGeom>
      </xdr:spPr>
    </xdr:pic>
    <xdr:clientData/>
  </xdr:twoCellAnchor>
  <xdr:twoCellAnchor editAs="oneCell">
    <xdr:from>
      <xdr:col>3</xdr:col>
      <xdr:colOff>190500</xdr:colOff>
      <xdr:row>157</xdr:row>
      <xdr:rowOff>349250</xdr:rowOff>
    </xdr:from>
    <xdr:to>
      <xdr:col>9</xdr:col>
      <xdr:colOff>609600</xdr:colOff>
      <xdr:row>180</xdr:row>
      <xdr:rowOff>88900</xdr:rowOff>
    </xdr:to>
    <xdr:pic>
      <xdr:nvPicPr>
        <xdr:cNvPr id="9" name="8 Imagen" descr="7.jpg"/>
        <xdr:cNvPicPr>
          <a:picLocks noChangeAspect="1"/>
        </xdr:cNvPicPr>
      </xdr:nvPicPr>
      <xdr:blipFill>
        <a:blip xmlns:r="http://schemas.openxmlformats.org/officeDocument/2006/relationships" r:embed="rId8"/>
        <a:stretch>
          <a:fillRect/>
        </a:stretch>
      </xdr:blipFill>
      <xdr:spPr>
        <a:xfrm>
          <a:off x="3676650" y="30267275"/>
          <a:ext cx="4991100" cy="4387850"/>
        </a:xfrm>
        <a:prstGeom prst="rect">
          <a:avLst/>
        </a:prstGeom>
      </xdr:spPr>
    </xdr:pic>
    <xdr:clientData/>
  </xdr:twoCellAnchor>
  <xdr:twoCellAnchor editAs="oneCell">
    <xdr:from>
      <xdr:col>2</xdr:col>
      <xdr:colOff>546367</xdr:colOff>
      <xdr:row>184</xdr:row>
      <xdr:rowOff>111125</xdr:rowOff>
    </xdr:from>
    <xdr:to>
      <xdr:col>10</xdr:col>
      <xdr:colOff>222250</xdr:colOff>
      <xdr:row>189</xdr:row>
      <xdr:rowOff>74084</xdr:rowOff>
    </xdr:to>
    <xdr:pic>
      <xdr:nvPicPr>
        <xdr:cNvPr id="10" name="9 Imagen" descr="9.jpg"/>
        <xdr:cNvPicPr>
          <a:picLocks noChangeAspect="1"/>
        </xdr:cNvPicPr>
      </xdr:nvPicPr>
      <xdr:blipFill>
        <a:blip xmlns:r="http://schemas.openxmlformats.org/officeDocument/2006/relationships" r:embed="rId9"/>
        <a:stretch>
          <a:fillRect/>
        </a:stretch>
      </xdr:blipFill>
      <xdr:spPr>
        <a:xfrm>
          <a:off x="3573200" y="35173708"/>
          <a:ext cx="5771883" cy="91545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114300</xdr:colOff>
      <xdr:row>2</xdr:row>
      <xdr:rowOff>171450</xdr:rowOff>
    </xdr:from>
    <xdr:to>
      <xdr:col>0</xdr:col>
      <xdr:colOff>1200150</xdr:colOff>
      <xdr:row>4</xdr:row>
      <xdr:rowOff>28575</xdr:rowOff>
    </xdr:to>
    <xdr:sp macro="" textlink="">
      <xdr:nvSpPr>
        <xdr:cNvPr id="2" name="1 Rectángulo redondeado">
          <a:hlinkClick xmlns:r="http://schemas.openxmlformats.org/officeDocument/2006/relationships" r:id="rId1"/>
        </xdr:cNvPr>
        <xdr:cNvSpPr/>
      </xdr:nvSpPr>
      <xdr:spPr>
        <a:xfrm>
          <a:off x="114300" y="552450"/>
          <a:ext cx="1085850"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omments" Target="../comments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mailto:123ALFA3@GMAIL.COM" TargetMode="External"/><Relationship Id="rId1" Type="http://schemas.openxmlformats.org/officeDocument/2006/relationships/hyperlink" Target="mailto:DAFO34W@YAHOO.ES"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6">
    <pageSetUpPr fitToPage="1"/>
  </sheetPr>
  <dimension ref="A3:L201"/>
  <sheetViews>
    <sheetView tabSelected="1" zoomScale="70" zoomScaleNormal="70" workbookViewId="0">
      <selection activeCell="A2" sqref="A2"/>
    </sheetView>
  </sheetViews>
  <sheetFormatPr baseColWidth="10" defaultRowHeight="15"/>
  <cols>
    <col min="1" max="1" width="22.42578125" style="1" customWidth="1"/>
    <col min="2" max="2" width="6.7109375" style="1" customWidth="1"/>
    <col min="3" max="3" width="43.28515625" style="1" customWidth="1"/>
    <col min="4" max="4" width="33" style="1" customWidth="1"/>
    <col min="5" max="5" width="29" style="1" customWidth="1"/>
    <col min="6" max="6" width="24" style="1" customWidth="1"/>
    <col min="7" max="7" width="20" style="1" customWidth="1"/>
    <col min="8" max="8" width="20.42578125" style="1" customWidth="1"/>
    <col min="9" max="9" width="23.42578125" style="1" customWidth="1"/>
    <col min="10" max="10" width="34.42578125" style="1" customWidth="1"/>
    <col min="11" max="16384" width="11.42578125" style="1"/>
  </cols>
  <sheetData>
    <row r="3" spans="1:12">
      <c r="D3" s="2"/>
    </row>
    <row r="4" spans="1:12" ht="37.5">
      <c r="A4" s="120" t="s">
        <v>2</v>
      </c>
    </row>
    <row r="5" spans="1:12">
      <c r="C5" s="3"/>
      <c r="D5" s="4"/>
      <c r="K5" s="5"/>
      <c r="L5" s="5"/>
    </row>
    <row r="6" spans="1:12">
      <c r="B6" s="113" t="s">
        <v>254</v>
      </c>
      <c r="C6" s="6" t="s">
        <v>3</v>
      </c>
      <c r="D6" s="191"/>
      <c r="E6" s="192"/>
    </row>
    <row r="8" spans="1:12" ht="18.75">
      <c r="B8" s="113"/>
      <c r="C8" s="211" t="s">
        <v>4</v>
      </c>
      <c r="D8" s="212"/>
      <c r="E8" s="212"/>
      <c r="F8" s="212"/>
    </row>
    <row r="10" spans="1:12">
      <c r="B10" s="1" t="s">
        <v>255</v>
      </c>
      <c r="C10" s="6" t="s">
        <v>137</v>
      </c>
      <c r="D10" s="170"/>
      <c r="E10" s="2"/>
    </row>
    <row r="12" spans="1:12">
      <c r="B12" s="1" t="s">
        <v>256</v>
      </c>
      <c r="C12" s="6" t="s">
        <v>138</v>
      </c>
      <c r="D12" s="171"/>
    </row>
    <row r="13" spans="1:12">
      <c r="D13" s="7"/>
    </row>
    <row r="14" spans="1:12">
      <c r="B14" s="1" t="s">
        <v>231</v>
      </c>
      <c r="C14" s="6" t="s">
        <v>139</v>
      </c>
      <c r="D14" s="157"/>
    </row>
    <row r="15" spans="1:12">
      <c r="D15" s="7"/>
    </row>
    <row r="16" spans="1:12">
      <c r="B16" s="1" t="s">
        <v>257</v>
      </c>
      <c r="C16" s="121" t="s">
        <v>140</v>
      </c>
      <c r="D16" s="169"/>
    </row>
    <row r="17" spans="2:6">
      <c r="D17" s="7"/>
    </row>
    <row r="18" spans="2:6">
      <c r="B18" s="1" t="s">
        <v>258</v>
      </c>
      <c r="C18" s="6" t="s">
        <v>11</v>
      </c>
      <c r="D18" s="169"/>
      <c r="E18" s="69"/>
    </row>
    <row r="19" spans="2:6">
      <c r="E19" s="69"/>
    </row>
    <row r="20" spans="2:6">
      <c r="B20" s="1" t="s">
        <v>259</v>
      </c>
      <c r="C20" s="6" t="s">
        <v>14</v>
      </c>
      <c r="D20" s="169"/>
    </row>
    <row r="22" spans="2:6">
      <c r="C22" s="70" t="s">
        <v>17</v>
      </c>
    </row>
    <row r="24" spans="2:6">
      <c r="B24" s="1" t="s">
        <v>260</v>
      </c>
      <c r="C24" s="6" t="s">
        <v>20</v>
      </c>
      <c r="D24" s="169"/>
      <c r="E24" s="2"/>
    </row>
    <row r="26" spans="2:6">
      <c r="B26" s="1" t="s">
        <v>261</v>
      </c>
      <c r="C26" s="6" t="s">
        <v>23</v>
      </c>
      <c r="D26" s="169"/>
      <c r="E26" s="2"/>
    </row>
    <row r="28" spans="2:6">
      <c r="B28" s="1" t="s">
        <v>262</v>
      </c>
      <c r="C28" s="6" t="s">
        <v>26</v>
      </c>
      <c r="D28" s="169"/>
      <c r="E28" s="2"/>
    </row>
    <row r="30" spans="2:6">
      <c r="C30" s="193" t="s">
        <v>29</v>
      </c>
      <c r="D30" s="194"/>
      <c r="E30" s="195"/>
      <c r="F30" s="196"/>
    </row>
    <row r="31" spans="2:6">
      <c r="B31" s="1" t="s">
        <v>263</v>
      </c>
      <c r="C31" s="193"/>
      <c r="D31" s="197"/>
      <c r="E31" s="198"/>
      <c r="F31" s="199"/>
    </row>
    <row r="33" spans="2:9" ht="28.5" customHeight="1">
      <c r="B33" s="122" t="s">
        <v>264</v>
      </c>
      <c r="C33" s="6" t="s">
        <v>33</v>
      </c>
      <c r="D33" s="172"/>
      <c r="E33" s="159">
        <v>0</v>
      </c>
      <c r="F33" s="124" t="s">
        <v>266</v>
      </c>
      <c r="G33" s="13" t="s">
        <v>34</v>
      </c>
      <c r="H33" s="173"/>
      <c r="I33" s="2"/>
    </row>
    <row r="35" spans="2:9" ht="45">
      <c r="B35" s="1" t="s">
        <v>265</v>
      </c>
      <c r="C35" s="6" t="s">
        <v>141</v>
      </c>
      <c r="D35" s="169"/>
      <c r="E35" s="114"/>
      <c r="F35" s="124" t="s">
        <v>244</v>
      </c>
      <c r="G35" s="13" t="s">
        <v>142</v>
      </c>
      <c r="H35" s="158"/>
    </row>
    <row r="38" spans="2:9" ht="18.75">
      <c r="C38" s="213" t="s">
        <v>215</v>
      </c>
      <c r="D38" s="214"/>
      <c r="E38" s="214"/>
      <c r="F38" s="214"/>
    </row>
    <row r="40" spans="2:9">
      <c r="B40" s="1" t="s">
        <v>267</v>
      </c>
      <c r="C40" s="6" t="s">
        <v>39</v>
      </c>
      <c r="D40" s="169"/>
    </row>
    <row r="41" spans="2:9">
      <c r="C41" s="3"/>
      <c r="D41" s="14"/>
    </row>
    <row r="42" spans="2:9">
      <c r="B42" s="1" t="s">
        <v>268</v>
      </c>
      <c r="C42" s="6" t="s">
        <v>40</v>
      </c>
      <c r="D42" s="169"/>
      <c r="E42" s="2"/>
    </row>
    <row r="44" spans="2:9" ht="32.25" customHeight="1">
      <c r="C44" s="7"/>
      <c r="D44" s="111" t="s">
        <v>43</v>
      </c>
      <c r="E44" s="111" t="s">
        <v>44</v>
      </c>
    </row>
    <row r="45" spans="2:9">
      <c r="B45" s="1" t="s">
        <v>269</v>
      </c>
      <c r="C45" s="15" t="s">
        <v>46</v>
      </c>
      <c r="D45" s="169"/>
      <c r="E45" s="174">
        <v>43018</v>
      </c>
      <c r="F45" s="2"/>
    </row>
    <row r="46" spans="2:9">
      <c r="D46" s="2"/>
    </row>
    <row r="47" spans="2:9" ht="30" customHeight="1">
      <c r="B47" s="1" t="s">
        <v>270</v>
      </c>
      <c r="C47" s="13" t="s">
        <v>47</v>
      </c>
      <c r="D47" s="169"/>
      <c r="E47" s="2"/>
    </row>
    <row r="48" spans="2:9" ht="19.5" customHeight="1">
      <c r="E48" s="71"/>
    </row>
    <row r="49" spans="2:7" ht="75.75" customHeight="1">
      <c r="B49" s="122" t="s">
        <v>271</v>
      </c>
      <c r="C49" s="13" t="s">
        <v>212</v>
      </c>
      <c r="D49" s="169"/>
      <c r="E49" s="2"/>
    </row>
    <row r="50" spans="2:7" ht="20.25" customHeight="1">
      <c r="B50" s="122"/>
      <c r="E50" s="71"/>
    </row>
    <row r="51" spans="2:7" ht="63" customHeight="1">
      <c r="B51" s="122" t="s">
        <v>272</v>
      </c>
      <c r="C51" s="13" t="s">
        <v>48</v>
      </c>
      <c r="D51" s="169"/>
      <c r="E51" s="2"/>
    </row>
    <row r="52" spans="2:7" ht="21.75" customHeight="1"/>
    <row r="53" spans="2:7" ht="30">
      <c r="B53" s="122" t="s">
        <v>273</v>
      </c>
      <c r="C53" s="13" t="s">
        <v>143</v>
      </c>
      <c r="D53" s="169"/>
      <c r="E53" s="2"/>
    </row>
    <row r="55" spans="2:7" hidden="1">
      <c r="C55" s="72" t="s">
        <v>144</v>
      </c>
      <c r="D55" s="158"/>
    </row>
    <row r="56" spans="2:7" hidden="1">
      <c r="C56" s="72" t="s">
        <v>145</v>
      </c>
      <c r="D56" s="158"/>
    </row>
    <row r="57" spans="2:7" hidden="1">
      <c r="C57" s="72" t="s">
        <v>146</v>
      </c>
      <c r="D57" s="158"/>
    </row>
    <row r="58" spans="2:7">
      <c r="C58"/>
      <c r="D58" s="2"/>
      <c r="G58" s="2"/>
    </row>
    <row r="59" spans="2:7" ht="30">
      <c r="B59" s="122" t="s">
        <v>274</v>
      </c>
      <c r="C59" s="13" t="s">
        <v>49</v>
      </c>
      <c r="D59" s="169"/>
      <c r="E59" s="125" t="s">
        <v>275</v>
      </c>
      <c r="F59" s="13" t="s">
        <v>50</v>
      </c>
      <c r="G59" s="169"/>
    </row>
    <row r="61" spans="2:7" ht="18.75">
      <c r="C61" s="213" t="s">
        <v>51</v>
      </c>
      <c r="D61" s="214"/>
      <c r="E61" s="214"/>
      <c r="F61" s="214"/>
    </row>
    <row r="63" spans="2:7">
      <c r="B63" s="1" t="s">
        <v>276</v>
      </c>
      <c r="C63" s="6" t="s">
        <v>52</v>
      </c>
      <c r="D63" s="169" t="s">
        <v>53</v>
      </c>
      <c r="E63" s="2"/>
    </row>
    <row r="65" spans="2:8" ht="15" customHeight="1">
      <c r="C65" s="200" t="s">
        <v>55</v>
      </c>
      <c r="D65" s="200"/>
    </row>
    <row r="66" spans="2:8">
      <c r="B66" s="1" t="s">
        <v>277</v>
      </c>
      <c r="C66" s="200"/>
      <c r="D66" s="200"/>
    </row>
    <row r="67" spans="2:8">
      <c r="C67" s="209"/>
      <c r="D67" s="210"/>
      <c r="E67" s="2"/>
      <c r="G67" s="226"/>
      <c r="H67" s="226"/>
    </row>
    <row r="68" spans="2:8">
      <c r="G68" s="226"/>
      <c r="H68" s="226"/>
    </row>
    <row r="69" spans="2:8" ht="15" customHeight="1">
      <c r="C69" s="200" t="s">
        <v>58</v>
      </c>
      <c r="D69" s="200"/>
    </row>
    <row r="70" spans="2:8">
      <c r="B70" s="1" t="s">
        <v>233</v>
      </c>
      <c r="C70" s="200"/>
      <c r="D70" s="200"/>
    </row>
    <row r="71" spans="2:8">
      <c r="C71" s="115" t="s">
        <v>61</v>
      </c>
      <c r="D71" s="115"/>
    </row>
    <row r="72" spans="2:8">
      <c r="C72" s="116" t="s">
        <v>63</v>
      </c>
      <c r="D72" s="116"/>
    </row>
    <row r="73" spans="2:8">
      <c r="C73" s="116" t="s">
        <v>65</v>
      </c>
      <c r="D73" s="116"/>
    </row>
    <row r="74" spans="2:8">
      <c r="C74" s="116" t="s">
        <v>60</v>
      </c>
      <c r="D74" s="116"/>
    </row>
    <row r="75" spans="2:8">
      <c r="C75" s="116" t="s">
        <v>62</v>
      </c>
      <c r="D75" s="116"/>
    </row>
    <row r="76" spans="2:8">
      <c r="C76" s="116" t="s">
        <v>64</v>
      </c>
      <c r="D76" s="116"/>
    </row>
    <row r="77" spans="2:8">
      <c r="C77" s="116" t="s">
        <v>66</v>
      </c>
      <c r="D77" s="116"/>
    </row>
    <row r="78" spans="2:8">
      <c r="C78" s="116" t="s">
        <v>67</v>
      </c>
      <c r="D78" s="116"/>
    </row>
    <row r="79" spans="2:8">
      <c r="C79" s="116" t="s">
        <v>68</v>
      </c>
      <c r="D79" s="116"/>
    </row>
    <row r="80" spans="2:8" ht="28.5" customHeight="1">
      <c r="C80" s="118" t="s">
        <v>69</v>
      </c>
      <c r="D80" s="116"/>
    </row>
    <row r="81" spans="2:5" ht="30" customHeight="1">
      <c r="C81" s="118" t="s">
        <v>70</v>
      </c>
      <c r="D81" s="116"/>
    </row>
    <row r="82" spans="2:5">
      <c r="C82" s="116" t="s">
        <v>71</v>
      </c>
      <c r="D82" s="116"/>
    </row>
    <row r="83" spans="2:5">
      <c r="C83" s="116" t="s">
        <v>72</v>
      </c>
      <c r="D83" s="116"/>
    </row>
    <row r="84" spans="2:5">
      <c r="C84" s="116" t="s">
        <v>73</v>
      </c>
      <c r="D84" s="116"/>
    </row>
    <row r="85" spans="2:5">
      <c r="C85" s="17"/>
      <c r="D85" s="17"/>
    </row>
    <row r="86" spans="2:5">
      <c r="C86" s="17"/>
      <c r="D86" s="17"/>
    </row>
    <row r="87" spans="2:5" ht="59.25" customHeight="1">
      <c r="B87" s="122" t="s">
        <v>278</v>
      </c>
      <c r="C87" s="13" t="s">
        <v>74</v>
      </c>
      <c r="D87" s="169"/>
      <c r="E87" s="2"/>
    </row>
    <row r="90" spans="2:5" ht="18.75" customHeight="1">
      <c r="B90" s="122" t="s">
        <v>279</v>
      </c>
      <c r="C90" s="207" t="s">
        <v>78</v>
      </c>
      <c r="D90" s="208"/>
    </row>
    <row r="91" spans="2:5">
      <c r="B91" s="122"/>
      <c r="C91" s="201" t="s">
        <v>79</v>
      </c>
      <c r="D91" s="202"/>
    </row>
    <row r="92" spans="2:5">
      <c r="B92" s="122"/>
      <c r="C92" s="203"/>
      <c r="D92" s="204"/>
    </row>
    <row r="93" spans="2:5">
      <c r="B93" s="122"/>
      <c r="C93" s="205"/>
      <c r="D93" s="206"/>
    </row>
    <row r="94" spans="2:5">
      <c r="B94" s="122"/>
      <c r="C94" s="18"/>
      <c r="D94" s="18"/>
    </row>
    <row r="95" spans="2:5" ht="30" customHeight="1">
      <c r="B95" s="122" t="s">
        <v>280</v>
      </c>
      <c r="C95" s="207" t="s">
        <v>213</v>
      </c>
      <c r="D95" s="208"/>
    </row>
    <row r="96" spans="2:5">
      <c r="B96" s="122"/>
      <c r="C96" s="201" t="s">
        <v>79</v>
      </c>
      <c r="D96" s="202"/>
    </row>
    <row r="97" spans="2:5">
      <c r="B97" s="122"/>
      <c r="C97" s="203"/>
      <c r="D97" s="204"/>
    </row>
    <row r="98" spans="2:5">
      <c r="B98" s="122"/>
      <c r="C98" s="205"/>
      <c r="D98" s="206"/>
    </row>
    <row r="99" spans="2:5">
      <c r="B99" s="122"/>
    </row>
    <row r="100" spans="2:5" ht="28.5" customHeight="1">
      <c r="B100" s="122" t="s">
        <v>281</v>
      </c>
      <c r="C100" s="207" t="s">
        <v>80</v>
      </c>
      <c r="D100" s="208"/>
    </row>
    <row r="101" spans="2:5" ht="15" customHeight="1">
      <c r="B101" s="122"/>
      <c r="C101" s="201" t="s">
        <v>79</v>
      </c>
      <c r="D101" s="202"/>
    </row>
    <row r="102" spans="2:5">
      <c r="B102" s="122"/>
      <c r="C102" s="203"/>
      <c r="D102" s="204"/>
    </row>
    <row r="103" spans="2:5">
      <c r="B103" s="122"/>
      <c r="C103" s="205"/>
      <c r="D103" s="206"/>
    </row>
    <row r="104" spans="2:5" ht="18" customHeight="1">
      <c r="B104" s="122"/>
      <c r="C104" s="18"/>
      <c r="D104" s="18"/>
    </row>
    <row r="105" spans="2:5" ht="29.25" customHeight="1">
      <c r="B105" s="122" t="s">
        <v>282</v>
      </c>
      <c r="C105" s="228" t="s">
        <v>81</v>
      </c>
      <c r="D105" s="228"/>
    </row>
    <row r="106" spans="2:5">
      <c r="B106" s="122"/>
      <c r="C106" s="201" t="s">
        <v>79</v>
      </c>
      <c r="D106" s="202"/>
    </row>
    <row r="107" spans="2:5">
      <c r="B107" s="122"/>
      <c r="C107" s="203"/>
      <c r="D107" s="204"/>
    </row>
    <row r="108" spans="2:5">
      <c r="B108" s="122"/>
      <c r="C108" s="205"/>
      <c r="D108" s="206"/>
    </row>
    <row r="109" spans="2:5" ht="16.5" customHeight="1">
      <c r="B109" s="122"/>
      <c r="C109" s="20"/>
      <c r="D109" s="16"/>
    </row>
    <row r="110" spans="2:5" ht="32.25" customHeight="1">
      <c r="B110" s="122" t="s">
        <v>283</v>
      </c>
      <c r="C110" s="19" t="s">
        <v>147</v>
      </c>
      <c r="D110" s="169"/>
      <c r="E110" s="2"/>
    </row>
    <row r="111" spans="2:5" ht="15.75" customHeight="1">
      <c r="B111" s="122"/>
    </row>
    <row r="112" spans="2:5" ht="30.75" customHeight="1">
      <c r="B112" s="122" t="s">
        <v>284</v>
      </c>
      <c r="C112" s="19" t="s">
        <v>148</v>
      </c>
      <c r="D112" s="169"/>
      <c r="E112" s="2"/>
    </row>
    <row r="113" spans="2:9" ht="15" customHeight="1">
      <c r="B113" s="122"/>
      <c r="C113" s="20"/>
      <c r="D113" s="16"/>
    </row>
    <row r="114" spans="2:9" ht="15" customHeight="1">
      <c r="B114" s="122" t="s">
        <v>285</v>
      </c>
      <c r="C114" s="200" t="s">
        <v>92</v>
      </c>
      <c r="D114" s="200"/>
    </row>
    <row r="115" spans="2:9" ht="15" customHeight="1">
      <c r="C115" s="217" t="s">
        <v>93</v>
      </c>
      <c r="D115" s="218"/>
    </row>
    <row r="116" spans="2:9">
      <c r="C116" s="219"/>
      <c r="D116" s="220"/>
    </row>
    <row r="117" spans="2:9">
      <c r="C117" s="221"/>
      <c r="D117" s="222"/>
      <c r="G117" s="21"/>
      <c r="H117" s="21"/>
      <c r="I117" s="21"/>
    </row>
    <row r="118" spans="2:9">
      <c r="G118" s="21"/>
      <c r="H118" s="21"/>
      <c r="I118" s="21"/>
    </row>
    <row r="119" spans="2:9" ht="18.75">
      <c r="C119" s="213" t="s">
        <v>94</v>
      </c>
      <c r="D119" s="214"/>
      <c r="E119" s="214"/>
      <c r="F119" s="214"/>
      <c r="G119" s="21"/>
      <c r="H119" s="21"/>
      <c r="I119" s="21"/>
    </row>
    <row r="120" spans="2:9">
      <c r="C120" s="22"/>
      <c r="D120" s="22"/>
      <c r="F120" s="16"/>
      <c r="G120" s="21"/>
      <c r="H120" s="26"/>
      <c r="I120" s="26"/>
    </row>
    <row r="121" spans="2:9" ht="15.75" thickBot="1">
      <c r="C121" s="126" t="s">
        <v>95</v>
      </c>
      <c r="D121" s="22"/>
      <c r="F121" s="16"/>
      <c r="G121" s="21"/>
      <c r="H121" s="26"/>
      <c r="I121" s="26"/>
    </row>
    <row r="122" spans="2:9">
      <c r="B122" s="130"/>
      <c r="C122" s="131"/>
      <c r="D122" s="134"/>
      <c r="E122" s="135"/>
      <c r="F122" s="136"/>
      <c r="G122" s="21"/>
      <c r="H122" s="26"/>
      <c r="I122" s="26"/>
    </row>
    <row r="123" spans="2:9" ht="72.75" customHeight="1">
      <c r="B123" s="147" t="s">
        <v>234</v>
      </c>
      <c r="C123" s="133"/>
      <c r="D123" s="24" t="s">
        <v>96</v>
      </c>
      <c r="E123" s="24" t="s">
        <v>97</v>
      </c>
      <c r="F123" s="25" t="s">
        <v>98</v>
      </c>
      <c r="G123" s="21"/>
      <c r="H123" s="26"/>
      <c r="I123" s="26"/>
    </row>
    <row r="124" spans="2:9">
      <c r="B124" s="132"/>
      <c r="C124" s="27" t="s">
        <v>99</v>
      </c>
      <c r="D124" s="28">
        <f>E124+F124</f>
        <v>130000</v>
      </c>
      <c r="E124" s="163">
        <v>100000</v>
      </c>
      <c r="F124" s="164">
        <v>30000</v>
      </c>
      <c r="G124" s="31">
        <f>(F124/100)*25</f>
        <v>7500</v>
      </c>
      <c r="H124" s="26"/>
      <c r="I124" s="26"/>
    </row>
    <row r="125" spans="2:9">
      <c r="B125" s="132"/>
      <c r="C125" s="32" t="s">
        <v>100</v>
      </c>
      <c r="D125" s="178">
        <f>(D124/D124)*1</f>
        <v>1</v>
      </c>
      <c r="E125" s="181">
        <f>E124/D124</f>
        <v>0.76923076923076927</v>
      </c>
      <c r="F125" s="182">
        <f>D125-E125</f>
        <v>0.23076923076923073</v>
      </c>
      <c r="G125" s="21"/>
      <c r="H125" s="26"/>
      <c r="I125" s="26"/>
    </row>
    <row r="126" spans="2:9">
      <c r="B126" s="132"/>
      <c r="C126" s="138"/>
      <c r="D126" s="139"/>
      <c r="E126" s="140"/>
      <c r="F126" s="141"/>
      <c r="G126" s="21"/>
      <c r="H126" s="26"/>
      <c r="I126" s="26"/>
    </row>
    <row r="127" spans="2:9" ht="33" customHeight="1">
      <c r="B127" s="132" t="s">
        <v>235</v>
      </c>
      <c r="C127" s="234" t="s">
        <v>227</v>
      </c>
      <c r="D127" s="234"/>
      <c r="E127" s="234"/>
      <c r="F127" s="141"/>
      <c r="G127" s="21"/>
      <c r="H127" s="26"/>
      <c r="I127" s="26"/>
    </row>
    <row r="128" spans="2:9">
      <c r="B128" s="132"/>
      <c r="C128" s="36" t="s">
        <v>101</v>
      </c>
      <c r="D128" s="36" t="s">
        <v>102</v>
      </c>
      <c r="E128" s="112" t="s">
        <v>103</v>
      </c>
      <c r="F128" s="141"/>
      <c r="G128" s="21"/>
      <c r="H128" s="26"/>
      <c r="I128" s="26"/>
    </row>
    <row r="129" spans="2:9">
      <c r="B129" s="132"/>
      <c r="C129" s="36" t="s">
        <v>224</v>
      </c>
      <c r="D129" s="165">
        <v>7500</v>
      </c>
      <c r="E129" s="183">
        <f>$D129/$F$124</f>
        <v>0.25</v>
      </c>
      <c r="F129" s="141"/>
      <c r="G129" s="21"/>
      <c r="H129" s="26"/>
      <c r="I129" s="26"/>
    </row>
    <row r="130" spans="2:9">
      <c r="B130" s="132"/>
      <c r="C130" s="36" t="s">
        <v>104</v>
      </c>
      <c r="D130" s="165">
        <v>2500</v>
      </c>
      <c r="E130" s="184">
        <f>$D130/$F$124</f>
        <v>8.3333333333333329E-2</v>
      </c>
      <c r="F130" s="141"/>
      <c r="G130" s="21"/>
      <c r="H130" s="26"/>
      <c r="I130" s="26"/>
    </row>
    <row r="131" spans="2:9">
      <c r="B131" s="132"/>
      <c r="C131" s="36" t="s">
        <v>105</v>
      </c>
      <c r="D131" s="165">
        <v>20000</v>
      </c>
      <c r="E131" s="184">
        <f>$D131/$F$124</f>
        <v>0.66666666666666663</v>
      </c>
      <c r="F131" s="141"/>
      <c r="G131" s="21"/>
      <c r="H131" s="26"/>
      <c r="I131" s="26"/>
    </row>
    <row r="132" spans="2:9">
      <c r="B132" s="132"/>
      <c r="C132" s="36" t="s">
        <v>102</v>
      </c>
      <c r="D132" s="40">
        <f>SUM(D129:D131)</f>
        <v>30000</v>
      </c>
      <c r="E132" s="184">
        <f>$D132/$F$124</f>
        <v>1</v>
      </c>
      <c r="F132" s="145"/>
      <c r="G132" s="21"/>
      <c r="H132" s="26"/>
      <c r="I132" s="26"/>
    </row>
    <row r="133" spans="2:9" ht="15.75" thickBot="1">
      <c r="B133" s="137"/>
      <c r="C133" s="142"/>
      <c r="D133" s="142"/>
      <c r="E133" s="143"/>
      <c r="F133" s="144"/>
      <c r="G133" s="21"/>
      <c r="H133" s="26"/>
      <c r="I133" s="26"/>
    </row>
    <row r="134" spans="2:9" ht="15.75" hidden="1" thickBot="1">
      <c r="C134" s="127" t="s">
        <v>54</v>
      </c>
      <c r="F134" s="16"/>
      <c r="G134" s="21"/>
      <c r="H134" s="26"/>
      <c r="I134" s="26"/>
    </row>
    <row r="135" spans="2:9" hidden="1">
      <c r="B135" s="41"/>
      <c r="C135" s="42"/>
      <c r="D135" s="43"/>
      <c r="E135" s="43"/>
      <c r="F135" s="43"/>
      <c r="G135" s="44"/>
      <c r="H135" s="26"/>
      <c r="I135" s="26"/>
    </row>
    <row r="136" spans="2:9" hidden="1">
      <c r="B136" s="45"/>
      <c r="C136" s="223" t="s">
        <v>106</v>
      </c>
      <c r="D136" s="224"/>
      <c r="E136" s="224"/>
      <c r="F136" s="224"/>
      <c r="G136" s="225"/>
    </row>
    <row r="137" spans="2:9" ht="47.25" hidden="1" customHeight="1">
      <c r="B137" s="45" t="s">
        <v>236</v>
      </c>
      <c r="C137" s="46" t="s">
        <v>107</v>
      </c>
      <c r="D137" s="24" t="s">
        <v>108</v>
      </c>
      <c r="E137" s="24" t="s">
        <v>109</v>
      </c>
      <c r="F137" s="47" t="s">
        <v>110</v>
      </c>
      <c r="G137" s="48" t="s">
        <v>111</v>
      </c>
    </row>
    <row r="138" spans="2:9" hidden="1">
      <c r="B138" s="45"/>
      <c r="C138" s="36" t="s">
        <v>112</v>
      </c>
      <c r="D138" s="160">
        <v>250000</v>
      </c>
      <c r="E138" s="160">
        <v>62500</v>
      </c>
      <c r="F138" s="50">
        <f>E138+D138</f>
        <v>312500</v>
      </c>
      <c r="G138" s="51">
        <f>$F138/$F$142</f>
        <v>1</v>
      </c>
    </row>
    <row r="139" spans="2:9" ht="30" hidden="1">
      <c r="B139" s="45"/>
      <c r="C139" s="36" t="s">
        <v>113</v>
      </c>
      <c r="D139" s="160"/>
      <c r="E139" s="160"/>
      <c r="F139" s="50">
        <f>E139+D139</f>
        <v>0</v>
      </c>
      <c r="G139" s="51">
        <f>$F139/$F$142</f>
        <v>0</v>
      </c>
    </row>
    <row r="140" spans="2:9" ht="45" hidden="1">
      <c r="B140" s="45"/>
      <c r="C140" s="36" t="s">
        <v>114</v>
      </c>
      <c r="D140" s="160"/>
      <c r="E140" s="160"/>
      <c r="F140" s="50">
        <f>E140+D140</f>
        <v>0</v>
      </c>
      <c r="G140" s="51">
        <f>$F140/$F$142</f>
        <v>0</v>
      </c>
    </row>
    <row r="141" spans="2:9" hidden="1">
      <c r="B141" s="45"/>
      <c r="C141" s="36" t="s">
        <v>115</v>
      </c>
      <c r="D141" s="160"/>
      <c r="E141" s="160"/>
      <c r="F141" s="50">
        <f>E141+D141</f>
        <v>0</v>
      </c>
      <c r="G141" s="51">
        <f>$F141/$F$142</f>
        <v>0</v>
      </c>
    </row>
    <row r="142" spans="2:9" hidden="1">
      <c r="B142" s="45"/>
      <c r="C142" s="53" t="s">
        <v>116</v>
      </c>
      <c r="D142" s="50">
        <f>SUM(D138:D141)</f>
        <v>250000</v>
      </c>
      <c r="E142" s="50">
        <f>SUM(E138:E141)</f>
        <v>62500</v>
      </c>
      <c r="F142" s="50">
        <f>E142+D142</f>
        <v>312500</v>
      </c>
      <c r="G142" s="51">
        <f>SUM(G138:G141)</f>
        <v>1</v>
      </c>
      <c r="H142" s="21">
        <f>(F142/100)*20</f>
        <v>62500</v>
      </c>
    </row>
    <row r="143" spans="2:9" hidden="1">
      <c r="B143" s="45"/>
      <c r="C143" s="12" t="s">
        <v>103</v>
      </c>
      <c r="D143" s="177">
        <f>D142/F142</f>
        <v>0.8</v>
      </c>
      <c r="E143" s="177">
        <f>E142/F142</f>
        <v>0.2</v>
      </c>
      <c r="F143" s="178">
        <f>SUM(D143+E143)</f>
        <v>1</v>
      </c>
      <c r="G143" s="55"/>
    </row>
    <row r="144" spans="2:9" hidden="1">
      <c r="B144" s="45"/>
      <c r="C144" s="57"/>
      <c r="D144" s="57"/>
      <c r="E144" s="57"/>
      <c r="F144" s="57"/>
      <c r="G144" s="55"/>
    </row>
    <row r="145" spans="2:7" ht="32.25" hidden="1" customHeight="1">
      <c r="B145" s="45" t="s">
        <v>237</v>
      </c>
      <c r="C145" s="231" t="s">
        <v>232</v>
      </c>
      <c r="D145" s="232"/>
      <c r="E145" s="233"/>
      <c r="F145" s="56"/>
      <c r="G145" s="55"/>
    </row>
    <row r="146" spans="2:7" hidden="1">
      <c r="B146" s="45"/>
      <c r="C146" s="36" t="s">
        <v>101</v>
      </c>
      <c r="D146" s="36" t="s">
        <v>102</v>
      </c>
      <c r="E146" s="112" t="s">
        <v>103</v>
      </c>
      <c r="F146" s="146">
        <f>(E142/100)*25</f>
        <v>15625</v>
      </c>
      <c r="G146" s="55"/>
    </row>
    <row r="147" spans="2:7" hidden="1">
      <c r="B147" s="45"/>
      <c r="C147" s="36" t="s">
        <v>224</v>
      </c>
      <c r="D147" s="161">
        <v>20000</v>
      </c>
      <c r="E147" s="179">
        <f>$D147/$E$142</f>
        <v>0.32</v>
      </c>
      <c r="F147" s="57"/>
      <c r="G147" s="55"/>
    </row>
    <row r="148" spans="2:7" hidden="1">
      <c r="B148" s="45"/>
      <c r="C148" s="36" t="s">
        <v>104</v>
      </c>
      <c r="D148" s="161">
        <v>20000</v>
      </c>
      <c r="E148" s="179">
        <f>$D148/$E$142</f>
        <v>0.32</v>
      </c>
      <c r="F148" s="57"/>
      <c r="G148" s="55"/>
    </row>
    <row r="149" spans="2:7" hidden="1">
      <c r="B149" s="45"/>
      <c r="C149" s="36" t="s">
        <v>105</v>
      </c>
      <c r="D149" s="162">
        <v>22500</v>
      </c>
      <c r="E149" s="179">
        <f>$D149/$E$142</f>
        <v>0.36</v>
      </c>
      <c r="F149" s="57"/>
      <c r="G149" s="55"/>
    </row>
    <row r="150" spans="2:7" ht="15.75" hidden="1" thickBot="1">
      <c r="B150" s="60"/>
      <c r="C150" s="128" t="s">
        <v>102</v>
      </c>
      <c r="D150" s="129">
        <f>SUM(D147:D149)</f>
        <v>62500</v>
      </c>
      <c r="E150" s="180">
        <f>$D150/$E$142</f>
        <v>1</v>
      </c>
      <c r="F150" s="61"/>
      <c r="G150" s="62"/>
    </row>
    <row r="151" spans="2:7">
      <c r="B151" s="16"/>
      <c r="C151" s="63"/>
      <c r="D151" s="16"/>
    </row>
    <row r="152" spans="2:7" ht="18.75">
      <c r="B152" s="16"/>
      <c r="C152" s="213" t="s">
        <v>230</v>
      </c>
      <c r="D152" s="214"/>
      <c r="E152" s="214"/>
      <c r="F152" s="214"/>
    </row>
    <row r="153" spans="2:7">
      <c r="B153" s="16"/>
      <c r="C153" s="63"/>
      <c r="D153" s="16"/>
    </row>
    <row r="154" spans="2:7" ht="45" customHeight="1">
      <c r="B154" s="123" t="s">
        <v>238</v>
      </c>
      <c r="C154" s="229" t="s">
        <v>149</v>
      </c>
      <c r="D154" s="230"/>
    </row>
    <row r="155" spans="2:7">
      <c r="B155" s="16"/>
      <c r="C155" s="115" t="s">
        <v>150</v>
      </c>
      <c r="D155" s="119"/>
    </row>
    <row r="156" spans="2:7">
      <c r="B156" s="16"/>
      <c r="C156" s="116" t="s">
        <v>151</v>
      </c>
      <c r="D156" s="117"/>
    </row>
    <row r="157" spans="2:7">
      <c r="B157" s="16"/>
      <c r="C157" s="116" t="s">
        <v>152</v>
      </c>
      <c r="D157" s="117"/>
    </row>
    <row r="158" spans="2:7">
      <c r="B158" s="16"/>
      <c r="C158" s="116" t="s">
        <v>153</v>
      </c>
      <c r="D158" s="117"/>
    </row>
    <row r="159" spans="2:7">
      <c r="B159" s="16"/>
      <c r="C159" s="116" t="s">
        <v>154</v>
      </c>
      <c r="D159" s="117"/>
    </row>
    <row r="160" spans="2:7">
      <c r="B160" s="16"/>
      <c r="C160" s="116" t="s">
        <v>155</v>
      </c>
      <c r="D160" s="117"/>
    </row>
    <row r="161" spans="2:7">
      <c r="B161" s="16"/>
      <c r="C161" s="63"/>
      <c r="D161" s="16"/>
    </row>
    <row r="162" spans="2:7" ht="60.75" customHeight="1">
      <c r="B162" s="123" t="s">
        <v>239</v>
      </c>
      <c r="C162" s="229" t="s">
        <v>156</v>
      </c>
      <c r="D162" s="230"/>
    </row>
    <row r="163" spans="2:7">
      <c r="B163" s="16"/>
      <c r="C163" s="115" t="s">
        <v>157</v>
      </c>
      <c r="D163" s="119"/>
    </row>
    <row r="164" spans="2:7">
      <c r="B164" s="16"/>
      <c r="C164" s="116" t="s">
        <v>158</v>
      </c>
      <c r="D164" s="117"/>
    </row>
    <row r="165" spans="2:7" ht="30">
      <c r="B165" s="16"/>
      <c r="C165" s="118" t="s">
        <v>159</v>
      </c>
      <c r="D165" s="117"/>
    </row>
    <row r="166" spans="2:7">
      <c r="B166" s="16"/>
      <c r="C166" s="116" t="s">
        <v>160</v>
      </c>
      <c r="D166" s="117"/>
    </row>
    <row r="167" spans="2:7">
      <c r="B167" s="16"/>
      <c r="C167" s="116" t="s">
        <v>161</v>
      </c>
      <c r="D167" s="117"/>
    </row>
    <row r="168" spans="2:7">
      <c r="B168" s="16"/>
      <c r="C168" s="116" t="s">
        <v>162</v>
      </c>
      <c r="D168" s="117"/>
    </row>
    <row r="169" spans="2:7">
      <c r="B169" s="16"/>
      <c r="C169" s="116" t="s">
        <v>163</v>
      </c>
      <c r="D169" s="117"/>
    </row>
    <row r="170" spans="2:7">
      <c r="B170" s="16"/>
      <c r="C170" s="116" t="s">
        <v>164</v>
      </c>
      <c r="D170" s="117"/>
    </row>
    <row r="171" spans="2:7">
      <c r="B171" s="16"/>
      <c r="C171" s="116" t="s">
        <v>165</v>
      </c>
      <c r="D171" s="117"/>
    </row>
    <row r="173" spans="2:7">
      <c r="B173" s="1" t="s">
        <v>240</v>
      </c>
      <c r="C173" s="6" t="s">
        <v>117</v>
      </c>
      <c r="D173" s="158"/>
      <c r="G173" s="16"/>
    </row>
    <row r="175" spans="2:7">
      <c r="B175" s="1" t="s">
        <v>241</v>
      </c>
      <c r="C175" s="6" t="s">
        <v>118</v>
      </c>
      <c r="D175" s="158"/>
    </row>
    <row r="177" spans="2:10">
      <c r="B177" s="1" t="s">
        <v>286</v>
      </c>
      <c r="C177" s="6" t="s">
        <v>211</v>
      </c>
      <c r="D177" s="169"/>
    </row>
    <row r="179" spans="2:10" ht="51.75" customHeight="1">
      <c r="B179" s="122" t="s">
        <v>287</v>
      </c>
      <c r="C179" s="13" t="s">
        <v>120</v>
      </c>
      <c r="D179" s="175"/>
    </row>
    <row r="180" spans="2:10">
      <c r="B180" s="122"/>
    </row>
    <row r="181" spans="2:10" ht="15" hidden="1" customHeight="1">
      <c r="B181" s="122"/>
      <c r="C181" s="200" t="s">
        <v>121</v>
      </c>
      <c r="D181" s="200" t="s">
        <v>122</v>
      </c>
      <c r="E181" s="236" t="s">
        <v>123</v>
      </c>
      <c r="F181" s="200" t="s">
        <v>124</v>
      </c>
      <c r="G181" s="200" t="s">
        <v>125</v>
      </c>
      <c r="H181" s="200"/>
      <c r="I181" s="215" t="s">
        <v>126</v>
      </c>
      <c r="J181" s="215" t="s">
        <v>127</v>
      </c>
    </row>
    <row r="182" spans="2:10" ht="59.25" hidden="1" customHeight="1">
      <c r="B182" s="122" t="s">
        <v>242</v>
      </c>
      <c r="C182" s="200"/>
      <c r="D182" s="200"/>
      <c r="E182" s="237"/>
      <c r="F182" s="200"/>
      <c r="G182" s="64" t="s">
        <v>128</v>
      </c>
      <c r="H182" s="64" t="s">
        <v>129</v>
      </c>
      <c r="I182" s="216"/>
      <c r="J182" s="216"/>
    </row>
    <row r="183" spans="2:10" hidden="1">
      <c r="C183" s="166"/>
      <c r="D183" s="166"/>
      <c r="E183" s="166"/>
      <c r="F183" s="166"/>
      <c r="G183" s="185"/>
      <c r="H183" s="185"/>
      <c r="I183" s="185"/>
      <c r="J183" s="166"/>
    </row>
    <row r="184" spans="2:10" hidden="1">
      <c r="C184" s="166"/>
      <c r="D184" s="166"/>
      <c r="E184" s="166"/>
      <c r="F184" s="166"/>
      <c r="G184" s="185"/>
      <c r="H184" s="185"/>
      <c r="I184" s="185"/>
      <c r="J184" s="166"/>
    </row>
    <row r="185" spans="2:10" hidden="1">
      <c r="C185" s="166"/>
      <c r="D185" s="166"/>
      <c r="E185" s="166"/>
      <c r="F185" s="166"/>
      <c r="G185" s="185"/>
      <c r="H185" s="185"/>
      <c r="I185" s="185"/>
      <c r="J185" s="166"/>
    </row>
    <row r="186" spans="2:10" hidden="1">
      <c r="C186" s="167"/>
      <c r="D186" s="167"/>
      <c r="E186" s="166"/>
      <c r="F186" s="167"/>
      <c r="G186" s="186"/>
      <c r="H186" s="186"/>
      <c r="I186" s="186"/>
      <c r="J186" s="166"/>
    </row>
    <row r="187" spans="2:10">
      <c r="E187" s="2"/>
    </row>
    <row r="188" spans="2:10" ht="33" customHeight="1">
      <c r="B188" s="122" t="s">
        <v>288</v>
      </c>
      <c r="C188" s="19" t="s">
        <v>130</v>
      </c>
      <c r="D188" s="176"/>
      <c r="E188" s="2"/>
    </row>
    <row r="190" spans="2:10" hidden="1">
      <c r="C190" s="235" t="s">
        <v>131</v>
      </c>
      <c r="D190" s="235"/>
      <c r="E190" s="235"/>
      <c r="F190" s="235"/>
    </row>
    <row r="191" spans="2:10" ht="30" hidden="1">
      <c r="B191" s="1" t="s">
        <v>243</v>
      </c>
      <c r="C191" s="65" t="s">
        <v>132</v>
      </c>
      <c r="D191" s="66" t="s">
        <v>133</v>
      </c>
      <c r="E191" s="66" t="s">
        <v>134</v>
      </c>
      <c r="F191" s="66" t="s">
        <v>135</v>
      </c>
    </row>
    <row r="192" spans="2:10" hidden="1">
      <c r="C192" s="167"/>
      <c r="D192" s="187"/>
      <c r="E192" s="168"/>
      <c r="F192" s="189"/>
    </row>
    <row r="193" spans="2:9" hidden="1">
      <c r="C193" s="167"/>
      <c r="D193" s="187"/>
      <c r="E193" s="168"/>
      <c r="F193" s="189"/>
    </row>
    <row r="194" spans="2:9" hidden="1">
      <c r="C194" s="167"/>
      <c r="D194" s="187"/>
      <c r="E194" s="168"/>
      <c r="F194" s="189"/>
    </row>
    <row r="195" spans="2:9" hidden="1">
      <c r="C195" s="167"/>
      <c r="D195" s="188"/>
      <c r="E195" s="167"/>
      <c r="F195" s="190"/>
    </row>
    <row r="199" spans="2:9" ht="13.5" customHeight="1"/>
    <row r="200" spans="2:9" ht="46.5" customHeight="1">
      <c r="B200" s="122" t="s">
        <v>289</v>
      </c>
      <c r="C200" s="13" t="s">
        <v>136</v>
      </c>
      <c r="D200" s="171"/>
      <c r="E200" s="227"/>
      <c r="F200" s="227"/>
      <c r="G200" s="227"/>
      <c r="H200" s="227"/>
      <c r="I200" s="227"/>
    </row>
    <row r="201" spans="2:9">
      <c r="E201" s="227"/>
      <c r="F201" s="227"/>
      <c r="G201" s="227"/>
      <c r="H201" s="227"/>
      <c r="I201" s="227"/>
    </row>
  </sheetData>
  <sheetProtection password="8532" sheet="1" objects="1" scenarios="1" formatCells="0" formatRows="0"/>
  <mergeCells count="36">
    <mergeCell ref="G67:H68"/>
    <mergeCell ref="E200:I201"/>
    <mergeCell ref="C101:D103"/>
    <mergeCell ref="C105:D105"/>
    <mergeCell ref="C106:D108"/>
    <mergeCell ref="C95:D95"/>
    <mergeCell ref="C154:D154"/>
    <mergeCell ref="C162:D162"/>
    <mergeCell ref="F181:F182"/>
    <mergeCell ref="C145:E145"/>
    <mergeCell ref="C127:E127"/>
    <mergeCell ref="C190:F190"/>
    <mergeCell ref="E181:E182"/>
    <mergeCell ref="C152:F152"/>
    <mergeCell ref="J181:J182"/>
    <mergeCell ref="C115:D117"/>
    <mergeCell ref="C136:G136"/>
    <mergeCell ref="G181:H181"/>
    <mergeCell ref="I181:I182"/>
    <mergeCell ref="C181:C182"/>
    <mergeCell ref="D181:D182"/>
    <mergeCell ref="C119:F119"/>
    <mergeCell ref="D6:E6"/>
    <mergeCell ref="C30:C31"/>
    <mergeCell ref="D30:F31"/>
    <mergeCell ref="C65:D66"/>
    <mergeCell ref="C114:D114"/>
    <mergeCell ref="C96:D98"/>
    <mergeCell ref="C100:D100"/>
    <mergeCell ref="C67:D67"/>
    <mergeCell ref="C90:D90"/>
    <mergeCell ref="C91:D93"/>
    <mergeCell ref="C69:D70"/>
    <mergeCell ref="C8:F8"/>
    <mergeCell ref="C38:F38"/>
    <mergeCell ref="C61:F61"/>
  </mergeCells>
  <conditionalFormatting sqref="D143">
    <cfRule type="cellIs" dxfId="45" priority="23" operator="greaterThan">
      <formula>0.8</formula>
    </cfRule>
    <cfRule type="cellIs" dxfId="44" priority="24" operator="lessThanOrEqual">
      <formula>0.8</formula>
    </cfRule>
  </conditionalFormatting>
  <conditionalFormatting sqref="E143">
    <cfRule type="cellIs" dxfId="43" priority="21" operator="greaterThanOrEqual">
      <formula>0.2</formula>
    </cfRule>
    <cfRule type="cellIs" dxfId="42" priority="22" operator="lessThan">
      <formula>0.2</formula>
    </cfRule>
  </conditionalFormatting>
  <conditionalFormatting sqref="D150">
    <cfRule type="cellIs" dxfId="41" priority="19" operator="notEqual">
      <formula>$E$142</formula>
    </cfRule>
    <cfRule type="cellIs" dxfId="40" priority="20" operator="equal">
      <formula>$E$142</formula>
    </cfRule>
  </conditionalFormatting>
  <conditionalFormatting sqref="D124">
    <cfRule type="cellIs" priority="18" operator="lessThanOrEqual">
      <formula>120000</formula>
    </cfRule>
  </conditionalFormatting>
  <conditionalFormatting sqref="D129">
    <cfRule type="cellIs" dxfId="39" priority="16" operator="greaterThanOrEqual">
      <formula>$G$124</formula>
    </cfRule>
    <cfRule type="cellIs" dxfId="38" priority="17" operator="lessThan">
      <formula>$G$124</formula>
    </cfRule>
  </conditionalFormatting>
  <conditionalFormatting sqref="D147">
    <cfRule type="cellIs" dxfId="37" priority="14" operator="greaterThanOrEqual">
      <formula>$F$146</formula>
    </cfRule>
    <cfRule type="cellIs" dxfId="36" priority="15" operator="lessThan">
      <formula>$F$146</formula>
    </cfRule>
  </conditionalFormatting>
  <conditionalFormatting sqref="F125">
    <cfRule type="cellIs" dxfId="35" priority="13" operator="lessThan">
      <formula>0.2</formula>
    </cfRule>
  </conditionalFormatting>
  <conditionalFormatting sqref="D132">
    <cfRule type="cellIs" dxfId="34" priority="11" operator="equal">
      <formula>$F$124</formula>
    </cfRule>
    <cfRule type="cellIs" dxfId="33" priority="12" operator="notEqual">
      <formula>$F$124</formula>
    </cfRule>
  </conditionalFormatting>
  <conditionalFormatting sqref="E129">
    <cfRule type="cellIs" dxfId="32" priority="9" stopIfTrue="1" operator="lessThan">
      <formula>0.25</formula>
    </cfRule>
    <cfRule type="cellIs" dxfId="31" priority="10" stopIfTrue="1" operator="greaterThanOrEqual">
      <formula>0.25</formula>
    </cfRule>
  </conditionalFormatting>
  <conditionalFormatting sqref="E132 E150">
    <cfRule type="cellIs" dxfId="30" priority="7" stopIfTrue="1" operator="notEqual">
      <formula>1</formula>
    </cfRule>
    <cfRule type="cellIs" dxfId="29" priority="8" stopIfTrue="1" operator="equal">
      <formula>1</formula>
    </cfRule>
  </conditionalFormatting>
  <conditionalFormatting sqref="D142">
    <cfRule type="cellIs" dxfId="28" priority="5" stopIfTrue="1" operator="greaterThan">
      <formula>250000</formula>
    </cfRule>
    <cfRule type="cellIs" dxfId="27" priority="6" stopIfTrue="1" operator="lessThanOrEqual">
      <formula>250000</formula>
    </cfRule>
  </conditionalFormatting>
  <conditionalFormatting sqref="E147">
    <cfRule type="cellIs" dxfId="26" priority="3" stopIfTrue="1" operator="greaterThanOrEqual">
      <formula>0.25</formula>
    </cfRule>
    <cfRule type="cellIs" dxfId="25" priority="4" stopIfTrue="1" operator="lessThan">
      <formula>0.25</formula>
    </cfRule>
  </conditionalFormatting>
  <dataValidations count="10">
    <dataValidation operator="equal" allowBlank="1" showInputMessage="1" showErrorMessage="1" sqref="D132 IT132 SP132 ACL132 AMH132 AWD132 BFZ132 BPV132 BZR132 CJN132 CTJ132 DDF132 DNB132 DWX132 EGT132 EQP132 FAL132 FKH132 FUD132 GDZ132 GNV132 GXR132 HHN132 HRJ132 IBF132 ILB132 IUX132 JET132 JOP132 JYL132 KIH132 KSD132 LBZ132 LLV132 LVR132 MFN132 MPJ132 MZF132 NJB132 NSX132 OCT132 OMP132 OWL132 PGH132 PQD132 PZZ132 QJV132 QTR132 RDN132 RNJ132 RXF132 SHB132 SQX132 TAT132 TKP132 TUL132 UEH132 UOD132 UXZ132 VHV132 VRR132 WBN132 WLJ132 WVF132 D65673 IT65673 SP65673 ACL65673 AMH65673 AWD65673 BFZ65673 BPV65673 BZR65673 CJN65673 CTJ65673 DDF65673 DNB65673 DWX65673 EGT65673 EQP65673 FAL65673 FKH65673 FUD65673 GDZ65673 GNV65673 GXR65673 HHN65673 HRJ65673 IBF65673 ILB65673 IUX65673 JET65673 JOP65673 JYL65673 KIH65673 KSD65673 LBZ65673 LLV65673 LVR65673 MFN65673 MPJ65673 MZF65673 NJB65673 NSX65673 OCT65673 OMP65673 OWL65673 PGH65673 PQD65673 PZZ65673 QJV65673 QTR65673 RDN65673 RNJ65673 RXF65673 SHB65673 SQX65673 TAT65673 TKP65673 TUL65673 UEH65673 UOD65673 UXZ65673 VHV65673 VRR65673 WBN65673 WLJ65673 WVF65673 D131209 IT131209 SP131209 ACL131209 AMH131209 AWD131209 BFZ131209 BPV131209 BZR131209 CJN131209 CTJ131209 DDF131209 DNB131209 DWX131209 EGT131209 EQP131209 FAL131209 FKH131209 FUD131209 GDZ131209 GNV131209 GXR131209 HHN131209 HRJ131209 IBF131209 ILB131209 IUX131209 JET131209 JOP131209 JYL131209 KIH131209 KSD131209 LBZ131209 LLV131209 LVR131209 MFN131209 MPJ131209 MZF131209 NJB131209 NSX131209 OCT131209 OMP131209 OWL131209 PGH131209 PQD131209 PZZ131209 QJV131209 QTR131209 RDN131209 RNJ131209 RXF131209 SHB131209 SQX131209 TAT131209 TKP131209 TUL131209 UEH131209 UOD131209 UXZ131209 VHV131209 VRR131209 WBN131209 WLJ131209 WVF131209 D196745 IT196745 SP196745 ACL196745 AMH196745 AWD196745 BFZ196745 BPV196745 BZR196745 CJN196745 CTJ196745 DDF196745 DNB196745 DWX196745 EGT196745 EQP196745 FAL196745 FKH196745 FUD196745 GDZ196745 GNV196745 GXR196745 HHN196745 HRJ196745 IBF196745 ILB196745 IUX196745 JET196745 JOP196745 JYL196745 KIH196745 KSD196745 LBZ196745 LLV196745 LVR196745 MFN196745 MPJ196745 MZF196745 NJB196745 NSX196745 OCT196745 OMP196745 OWL196745 PGH196745 PQD196745 PZZ196745 QJV196745 QTR196745 RDN196745 RNJ196745 RXF196745 SHB196745 SQX196745 TAT196745 TKP196745 TUL196745 UEH196745 UOD196745 UXZ196745 VHV196745 VRR196745 WBN196745 WLJ196745 WVF196745 D262281 IT262281 SP262281 ACL262281 AMH262281 AWD262281 BFZ262281 BPV262281 BZR262281 CJN262281 CTJ262281 DDF262281 DNB262281 DWX262281 EGT262281 EQP262281 FAL262281 FKH262281 FUD262281 GDZ262281 GNV262281 GXR262281 HHN262281 HRJ262281 IBF262281 ILB262281 IUX262281 JET262281 JOP262281 JYL262281 KIH262281 KSD262281 LBZ262281 LLV262281 LVR262281 MFN262281 MPJ262281 MZF262281 NJB262281 NSX262281 OCT262281 OMP262281 OWL262281 PGH262281 PQD262281 PZZ262281 QJV262281 QTR262281 RDN262281 RNJ262281 RXF262281 SHB262281 SQX262281 TAT262281 TKP262281 TUL262281 UEH262281 UOD262281 UXZ262281 VHV262281 VRR262281 WBN262281 WLJ262281 WVF262281 D327817 IT327817 SP327817 ACL327817 AMH327817 AWD327817 BFZ327817 BPV327817 BZR327817 CJN327817 CTJ327817 DDF327817 DNB327817 DWX327817 EGT327817 EQP327817 FAL327817 FKH327817 FUD327817 GDZ327817 GNV327817 GXR327817 HHN327817 HRJ327817 IBF327817 ILB327817 IUX327817 JET327817 JOP327817 JYL327817 KIH327817 KSD327817 LBZ327817 LLV327817 LVR327817 MFN327817 MPJ327817 MZF327817 NJB327817 NSX327817 OCT327817 OMP327817 OWL327817 PGH327817 PQD327817 PZZ327817 QJV327817 QTR327817 RDN327817 RNJ327817 RXF327817 SHB327817 SQX327817 TAT327817 TKP327817 TUL327817 UEH327817 UOD327817 UXZ327817 VHV327817 VRR327817 WBN327817 WLJ327817 WVF327817 D393353 IT393353 SP393353 ACL393353 AMH393353 AWD393353 BFZ393353 BPV393353 BZR393353 CJN393353 CTJ393353 DDF393353 DNB393353 DWX393353 EGT393353 EQP393353 FAL393353 FKH393353 FUD393353 GDZ393353 GNV393353 GXR393353 HHN393353 HRJ393353 IBF393353 ILB393353 IUX393353 JET393353 JOP393353 JYL393353 KIH393353 KSD393353 LBZ393353 LLV393353 LVR393353 MFN393353 MPJ393353 MZF393353 NJB393353 NSX393353 OCT393353 OMP393353 OWL393353 PGH393353 PQD393353 PZZ393353 QJV393353 QTR393353 RDN393353 RNJ393353 RXF393353 SHB393353 SQX393353 TAT393353 TKP393353 TUL393353 UEH393353 UOD393353 UXZ393353 VHV393353 VRR393353 WBN393353 WLJ393353 WVF393353 D458889 IT458889 SP458889 ACL458889 AMH458889 AWD458889 BFZ458889 BPV458889 BZR458889 CJN458889 CTJ458889 DDF458889 DNB458889 DWX458889 EGT458889 EQP458889 FAL458889 FKH458889 FUD458889 GDZ458889 GNV458889 GXR458889 HHN458889 HRJ458889 IBF458889 ILB458889 IUX458889 JET458889 JOP458889 JYL458889 KIH458889 KSD458889 LBZ458889 LLV458889 LVR458889 MFN458889 MPJ458889 MZF458889 NJB458889 NSX458889 OCT458889 OMP458889 OWL458889 PGH458889 PQD458889 PZZ458889 QJV458889 QTR458889 RDN458889 RNJ458889 RXF458889 SHB458889 SQX458889 TAT458889 TKP458889 TUL458889 UEH458889 UOD458889 UXZ458889 VHV458889 VRR458889 WBN458889 WLJ458889 WVF458889 D524425 IT524425 SP524425 ACL524425 AMH524425 AWD524425 BFZ524425 BPV524425 BZR524425 CJN524425 CTJ524425 DDF524425 DNB524425 DWX524425 EGT524425 EQP524425 FAL524425 FKH524425 FUD524425 GDZ524425 GNV524425 GXR524425 HHN524425 HRJ524425 IBF524425 ILB524425 IUX524425 JET524425 JOP524425 JYL524425 KIH524425 KSD524425 LBZ524425 LLV524425 LVR524425 MFN524425 MPJ524425 MZF524425 NJB524425 NSX524425 OCT524425 OMP524425 OWL524425 PGH524425 PQD524425 PZZ524425 QJV524425 QTR524425 RDN524425 RNJ524425 RXF524425 SHB524425 SQX524425 TAT524425 TKP524425 TUL524425 UEH524425 UOD524425 UXZ524425 VHV524425 VRR524425 WBN524425 WLJ524425 WVF524425 D589961 IT589961 SP589961 ACL589961 AMH589961 AWD589961 BFZ589961 BPV589961 BZR589961 CJN589961 CTJ589961 DDF589961 DNB589961 DWX589961 EGT589961 EQP589961 FAL589961 FKH589961 FUD589961 GDZ589961 GNV589961 GXR589961 HHN589961 HRJ589961 IBF589961 ILB589961 IUX589961 JET589961 JOP589961 JYL589961 KIH589961 KSD589961 LBZ589961 LLV589961 LVR589961 MFN589961 MPJ589961 MZF589961 NJB589961 NSX589961 OCT589961 OMP589961 OWL589961 PGH589961 PQD589961 PZZ589961 QJV589961 QTR589961 RDN589961 RNJ589961 RXF589961 SHB589961 SQX589961 TAT589961 TKP589961 TUL589961 UEH589961 UOD589961 UXZ589961 VHV589961 VRR589961 WBN589961 WLJ589961 WVF589961 D655497 IT655497 SP655497 ACL655497 AMH655497 AWD655497 BFZ655497 BPV655497 BZR655497 CJN655497 CTJ655497 DDF655497 DNB655497 DWX655497 EGT655497 EQP655497 FAL655497 FKH655497 FUD655497 GDZ655497 GNV655497 GXR655497 HHN655497 HRJ655497 IBF655497 ILB655497 IUX655497 JET655497 JOP655497 JYL655497 KIH655497 KSD655497 LBZ655497 LLV655497 LVR655497 MFN655497 MPJ655497 MZF655497 NJB655497 NSX655497 OCT655497 OMP655497 OWL655497 PGH655497 PQD655497 PZZ655497 QJV655497 QTR655497 RDN655497 RNJ655497 RXF655497 SHB655497 SQX655497 TAT655497 TKP655497 TUL655497 UEH655497 UOD655497 UXZ655497 VHV655497 VRR655497 WBN655497 WLJ655497 WVF655497 D721033 IT721033 SP721033 ACL721033 AMH721033 AWD721033 BFZ721033 BPV721033 BZR721033 CJN721033 CTJ721033 DDF721033 DNB721033 DWX721033 EGT721033 EQP721033 FAL721033 FKH721033 FUD721033 GDZ721033 GNV721033 GXR721033 HHN721033 HRJ721033 IBF721033 ILB721033 IUX721033 JET721033 JOP721033 JYL721033 KIH721033 KSD721033 LBZ721033 LLV721033 LVR721033 MFN721033 MPJ721033 MZF721033 NJB721033 NSX721033 OCT721033 OMP721033 OWL721033 PGH721033 PQD721033 PZZ721033 QJV721033 QTR721033 RDN721033 RNJ721033 RXF721033 SHB721033 SQX721033 TAT721033 TKP721033 TUL721033 UEH721033 UOD721033 UXZ721033 VHV721033 VRR721033 WBN721033 WLJ721033 WVF721033 D786569 IT786569 SP786569 ACL786569 AMH786569 AWD786569 BFZ786569 BPV786569 BZR786569 CJN786569 CTJ786569 DDF786569 DNB786569 DWX786569 EGT786569 EQP786569 FAL786569 FKH786569 FUD786569 GDZ786569 GNV786569 GXR786569 HHN786569 HRJ786569 IBF786569 ILB786569 IUX786569 JET786569 JOP786569 JYL786569 KIH786569 KSD786569 LBZ786569 LLV786569 LVR786569 MFN786569 MPJ786569 MZF786569 NJB786569 NSX786569 OCT786569 OMP786569 OWL786569 PGH786569 PQD786569 PZZ786569 QJV786569 QTR786569 RDN786569 RNJ786569 RXF786569 SHB786569 SQX786569 TAT786569 TKP786569 TUL786569 UEH786569 UOD786569 UXZ786569 VHV786569 VRR786569 WBN786569 WLJ786569 WVF786569 D852105 IT852105 SP852105 ACL852105 AMH852105 AWD852105 BFZ852105 BPV852105 BZR852105 CJN852105 CTJ852105 DDF852105 DNB852105 DWX852105 EGT852105 EQP852105 FAL852105 FKH852105 FUD852105 GDZ852105 GNV852105 GXR852105 HHN852105 HRJ852105 IBF852105 ILB852105 IUX852105 JET852105 JOP852105 JYL852105 KIH852105 KSD852105 LBZ852105 LLV852105 LVR852105 MFN852105 MPJ852105 MZF852105 NJB852105 NSX852105 OCT852105 OMP852105 OWL852105 PGH852105 PQD852105 PZZ852105 QJV852105 QTR852105 RDN852105 RNJ852105 RXF852105 SHB852105 SQX852105 TAT852105 TKP852105 TUL852105 UEH852105 UOD852105 UXZ852105 VHV852105 VRR852105 WBN852105 WLJ852105 WVF852105 D917641 IT917641 SP917641 ACL917641 AMH917641 AWD917641 BFZ917641 BPV917641 BZR917641 CJN917641 CTJ917641 DDF917641 DNB917641 DWX917641 EGT917641 EQP917641 FAL917641 FKH917641 FUD917641 GDZ917641 GNV917641 GXR917641 HHN917641 HRJ917641 IBF917641 ILB917641 IUX917641 JET917641 JOP917641 JYL917641 KIH917641 KSD917641 LBZ917641 LLV917641 LVR917641 MFN917641 MPJ917641 MZF917641 NJB917641 NSX917641 OCT917641 OMP917641 OWL917641 PGH917641 PQD917641 PZZ917641 QJV917641 QTR917641 RDN917641 RNJ917641 RXF917641 SHB917641 SQX917641 TAT917641 TKP917641 TUL917641 UEH917641 UOD917641 UXZ917641 VHV917641 VRR917641 WBN917641 WLJ917641 WVF917641 D983177 IT983177 SP983177 ACL983177 AMH983177 AWD983177 BFZ983177 BPV983177 BZR983177 CJN983177 CTJ983177 DDF983177 DNB983177 DWX983177 EGT983177 EQP983177 FAL983177 FKH983177 FUD983177 GDZ983177 GNV983177 GXR983177 HHN983177 HRJ983177 IBF983177 ILB983177 IUX983177 JET983177 JOP983177 JYL983177 KIH983177 KSD983177 LBZ983177 LLV983177 LVR983177 MFN983177 MPJ983177 MZF983177 NJB983177 NSX983177 OCT983177 OMP983177 OWL983177 PGH983177 PQD983177 PZZ983177 QJV983177 QTR983177 RDN983177 RNJ983177 RXF983177 SHB983177 SQX983177 TAT983177 TKP983177 TUL983177 UEH983177 UOD983177 UXZ983177 VHV983177 VRR983177 WBN983177 WLJ983177 WVF983177"/>
    <dataValidation allowBlank="1" showInputMessage="1" showErrorMessage="1" errorTitle="ERROR" error="NO SE PUEDE APLICAR A MONTOS SUPERIORES A 125000" sqref="D124 IT124 SP124 ACL124 AMH124 AWD124 BFZ124 BPV124 BZR124 CJN124 CTJ124 DDF124 DNB124 DWX124 EGT124 EQP124 FAL124 FKH124 FUD124 GDZ124 GNV124 GXR124 HHN124 HRJ124 IBF124 ILB124 IUX124 JET124 JOP124 JYL124 KIH124 KSD124 LBZ124 LLV124 LVR124 MFN124 MPJ124 MZF124 NJB124 NSX124 OCT124 OMP124 OWL124 PGH124 PQD124 PZZ124 QJV124 QTR124 RDN124 RNJ124 RXF124 SHB124 SQX124 TAT124 TKP124 TUL124 UEH124 UOD124 UXZ124 VHV124 VRR124 WBN124 WLJ124 WVF124 D65665 IT65665 SP65665 ACL65665 AMH65665 AWD65665 BFZ65665 BPV65665 BZR65665 CJN65665 CTJ65665 DDF65665 DNB65665 DWX65665 EGT65665 EQP65665 FAL65665 FKH65665 FUD65665 GDZ65665 GNV65665 GXR65665 HHN65665 HRJ65665 IBF65665 ILB65665 IUX65665 JET65665 JOP65665 JYL65665 KIH65665 KSD65665 LBZ65665 LLV65665 LVR65665 MFN65665 MPJ65665 MZF65665 NJB65665 NSX65665 OCT65665 OMP65665 OWL65665 PGH65665 PQD65665 PZZ65665 QJV65665 QTR65665 RDN65665 RNJ65665 RXF65665 SHB65665 SQX65665 TAT65665 TKP65665 TUL65665 UEH65665 UOD65665 UXZ65665 VHV65665 VRR65665 WBN65665 WLJ65665 WVF65665 D131201 IT131201 SP131201 ACL131201 AMH131201 AWD131201 BFZ131201 BPV131201 BZR131201 CJN131201 CTJ131201 DDF131201 DNB131201 DWX131201 EGT131201 EQP131201 FAL131201 FKH131201 FUD131201 GDZ131201 GNV131201 GXR131201 HHN131201 HRJ131201 IBF131201 ILB131201 IUX131201 JET131201 JOP131201 JYL131201 KIH131201 KSD131201 LBZ131201 LLV131201 LVR131201 MFN131201 MPJ131201 MZF131201 NJB131201 NSX131201 OCT131201 OMP131201 OWL131201 PGH131201 PQD131201 PZZ131201 QJV131201 QTR131201 RDN131201 RNJ131201 RXF131201 SHB131201 SQX131201 TAT131201 TKP131201 TUL131201 UEH131201 UOD131201 UXZ131201 VHV131201 VRR131201 WBN131201 WLJ131201 WVF131201 D196737 IT196737 SP196737 ACL196737 AMH196737 AWD196737 BFZ196737 BPV196737 BZR196737 CJN196737 CTJ196737 DDF196737 DNB196737 DWX196737 EGT196737 EQP196737 FAL196737 FKH196737 FUD196737 GDZ196737 GNV196737 GXR196737 HHN196737 HRJ196737 IBF196737 ILB196737 IUX196737 JET196737 JOP196737 JYL196737 KIH196737 KSD196737 LBZ196737 LLV196737 LVR196737 MFN196737 MPJ196737 MZF196737 NJB196737 NSX196737 OCT196737 OMP196737 OWL196737 PGH196737 PQD196737 PZZ196737 QJV196737 QTR196737 RDN196737 RNJ196737 RXF196737 SHB196737 SQX196737 TAT196737 TKP196737 TUL196737 UEH196737 UOD196737 UXZ196737 VHV196737 VRR196737 WBN196737 WLJ196737 WVF196737 D262273 IT262273 SP262273 ACL262273 AMH262273 AWD262273 BFZ262273 BPV262273 BZR262273 CJN262273 CTJ262273 DDF262273 DNB262273 DWX262273 EGT262273 EQP262273 FAL262273 FKH262273 FUD262273 GDZ262273 GNV262273 GXR262273 HHN262273 HRJ262273 IBF262273 ILB262273 IUX262273 JET262273 JOP262273 JYL262273 KIH262273 KSD262273 LBZ262273 LLV262273 LVR262273 MFN262273 MPJ262273 MZF262273 NJB262273 NSX262273 OCT262273 OMP262273 OWL262273 PGH262273 PQD262273 PZZ262273 QJV262273 QTR262273 RDN262273 RNJ262273 RXF262273 SHB262273 SQX262273 TAT262273 TKP262273 TUL262273 UEH262273 UOD262273 UXZ262273 VHV262273 VRR262273 WBN262273 WLJ262273 WVF262273 D327809 IT327809 SP327809 ACL327809 AMH327809 AWD327809 BFZ327809 BPV327809 BZR327809 CJN327809 CTJ327809 DDF327809 DNB327809 DWX327809 EGT327809 EQP327809 FAL327809 FKH327809 FUD327809 GDZ327809 GNV327809 GXR327809 HHN327809 HRJ327809 IBF327809 ILB327809 IUX327809 JET327809 JOP327809 JYL327809 KIH327809 KSD327809 LBZ327809 LLV327809 LVR327809 MFN327809 MPJ327809 MZF327809 NJB327809 NSX327809 OCT327809 OMP327809 OWL327809 PGH327809 PQD327809 PZZ327809 QJV327809 QTR327809 RDN327809 RNJ327809 RXF327809 SHB327809 SQX327809 TAT327809 TKP327809 TUL327809 UEH327809 UOD327809 UXZ327809 VHV327809 VRR327809 WBN327809 WLJ327809 WVF327809 D393345 IT393345 SP393345 ACL393345 AMH393345 AWD393345 BFZ393345 BPV393345 BZR393345 CJN393345 CTJ393345 DDF393345 DNB393345 DWX393345 EGT393345 EQP393345 FAL393345 FKH393345 FUD393345 GDZ393345 GNV393345 GXR393345 HHN393345 HRJ393345 IBF393345 ILB393345 IUX393345 JET393345 JOP393345 JYL393345 KIH393345 KSD393345 LBZ393345 LLV393345 LVR393345 MFN393345 MPJ393345 MZF393345 NJB393345 NSX393345 OCT393345 OMP393345 OWL393345 PGH393345 PQD393345 PZZ393345 QJV393345 QTR393345 RDN393345 RNJ393345 RXF393345 SHB393345 SQX393345 TAT393345 TKP393345 TUL393345 UEH393345 UOD393345 UXZ393345 VHV393345 VRR393345 WBN393345 WLJ393345 WVF393345 D458881 IT458881 SP458881 ACL458881 AMH458881 AWD458881 BFZ458881 BPV458881 BZR458881 CJN458881 CTJ458881 DDF458881 DNB458881 DWX458881 EGT458881 EQP458881 FAL458881 FKH458881 FUD458881 GDZ458881 GNV458881 GXR458881 HHN458881 HRJ458881 IBF458881 ILB458881 IUX458881 JET458881 JOP458881 JYL458881 KIH458881 KSD458881 LBZ458881 LLV458881 LVR458881 MFN458881 MPJ458881 MZF458881 NJB458881 NSX458881 OCT458881 OMP458881 OWL458881 PGH458881 PQD458881 PZZ458881 QJV458881 QTR458881 RDN458881 RNJ458881 RXF458881 SHB458881 SQX458881 TAT458881 TKP458881 TUL458881 UEH458881 UOD458881 UXZ458881 VHV458881 VRR458881 WBN458881 WLJ458881 WVF458881 D524417 IT524417 SP524417 ACL524417 AMH524417 AWD524417 BFZ524417 BPV524417 BZR524417 CJN524417 CTJ524417 DDF524417 DNB524417 DWX524417 EGT524417 EQP524417 FAL524417 FKH524417 FUD524417 GDZ524417 GNV524417 GXR524417 HHN524417 HRJ524417 IBF524417 ILB524417 IUX524417 JET524417 JOP524417 JYL524417 KIH524417 KSD524417 LBZ524417 LLV524417 LVR524417 MFN524417 MPJ524417 MZF524417 NJB524417 NSX524417 OCT524417 OMP524417 OWL524417 PGH524417 PQD524417 PZZ524417 QJV524417 QTR524417 RDN524417 RNJ524417 RXF524417 SHB524417 SQX524417 TAT524417 TKP524417 TUL524417 UEH524417 UOD524417 UXZ524417 VHV524417 VRR524417 WBN524417 WLJ524417 WVF524417 D589953 IT589953 SP589953 ACL589953 AMH589953 AWD589953 BFZ589953 BPV589953 BZR589953 CJN589953 CTJ589953 DDF589953 DNB589953 DWX589953 EGT589953 EQP589953 FAL589953 FKH589953 FUD589953 GDZ589953 GNV589953 GXR589953 HHN589953 HRJ589953 IBF589953 ILB589953 IUX589953 JET589953 JOP589953 JYL589953 KIH589953 KSD589953 LBZ589953 LLV589953 LVR589953 MFN589953 MPJ589953 MZF589953 NJB589953 NSX589953 OCT589953 OMP589953 OWL589953 PGH589953 PQD589953 PZZ589953 QJV589953 QTR589953 RDN589953 RNJ589953 RXF589953 SHB589953 SQX589953 TAT589953 TKP589953 TUL589953 UEH589953 UOD589953 UXZ589953 VHV589953 VRR589953 WBN589953 WLJ589953 WVF589953 D655489 IT655489 SP655489 ACL655489 AMH655489 AWD655489 BFZ655489 BPV655489 BZR655489 CJN655489 CTJ655489 DDF655489 DNB655489 DWX655489 EGT655489 EQP655489 FAL655489 FKH655489 FUD655489 GDZ655489 GNV655489 GXR655489 HHN655489 HRJ655489 IBF655489 ILB655489 IUX655489 JET655489 JOP655489 JYL655489 KIH655489 KSD655489 LBZ655489 LLV655489 LVR655489 MFN655489 MPJ655489 MZF655489 NJB655489 NSX655489 OCT655489 OMP655489 OWL655489 PGH655489 PQD655489 PZZ655489 QJV655489 QTR655489 RDN655489 RNJ655489 RXF655489 SHB655489 SQX655489 TAT655489 TKP655489 TUL655489 UEH655489 UOD655489 UXZ655489 VHV655489 VRR655489 WBN655489 WLJ655489 WVF655489 D721025 IT721025 SP721025 ACL721025 AMH721025 AWD721025 BFZ721025 BPV721025 BZR721025 CJN721025 CTJ721025 DDF721025 DNB721025 DWX721025 EGT721025 EQP721025 FAL721025 FKH721025 FUD721025 GDZ721025 GNV721025 GXR721025 HHN721025 HRJ721025 IBF721025 ILB721025 IUX721025 JET721025 JOP721025 JYL721025 KIH721025 KSD721025 LBZ721025 LLV721025 LVR721025 MFN721025 MPJ721025 MZF721025 NJB721025 NSX721025 OCT721025 OMP721025 OWL721025 PGH721025 PQD721025 PZZ721025 QJV721025 QTR721025 RDN721025 RNJ721025 RXF721025 SHB721025 SQX721025 TAT721025 TKP721025 TUL721025 UEH721025 UOD721025 UXZ721025 VHV721025 VRR721025 WBN721025 WLJ721025 WVF721025 D786561 IT786561 SP786561 ACL786561 AMH786561 AWD786561 BFZ786561 BPV786561 BZR786561 CJN786561 CTJ786561 DDF786561 DNB786561 DWX786561 EGT786561 EQP786561 FAL786561 FKH786561 FUD786561 GDZ786561 GNV786561 GXR786561 HHN786561 HRJ786561 IBF786561 ILB786561 IUX786561 JET786561 JOP786561 JYL786561 KIH786561 KSD786561 LBZ786561 LLV786561 LVR786561 MFN786561 MPJ786561 MZF786561 NJB786561 NSX786561 OCT786561 OMP786561 OWL786561 PGH786561 PQD786561 PZZ786561 QJV786561 QTR786561 RDN786561 RNJ786561 RXF786561 SHB786561 SQX786561 TAT786561 TKP786561 TUL786561 UEH786561 UOD786561 UXZ786561 VHV786561 VRR786561 WBN786561 WLJ786561 WVF786561 D852097 IT852097 SP852097 ACL852097 AMH852097 AWD852097 BFZ852097 BPV852097 BZR852097 CJN852097 CTJ852097 DDF852097 DNB852097 DWX852097 EGT852097 EQP852097 FAL852097 FKH852097 FUD852097 GDZ852097 GNV852097 GXR852097 HHN852097 HRJ852097 IBF852097 ILB852097 IUX852097 JET852097 JOP852097 JYL852097 KIH852097 KSD852097 LBZ852097 LLV852097 LVR852097 MFN852097 MPJ852097 MZF852097 NJB852097 NSX852097 OCT852097 OMP852097 OWL852097 PGH852097 PQD852097 PZZ852097 QJV852097 QTR852097 RDN852097 RNJ852097 RXF852097 SHB852097 SQX852097 TAT852097 TKP852097 TUL852097 UEH852097 UOD852097 UXZ852097 VHV852097 VRR852097 WBN852097 WLJ852097 WVF852097 D917633 IT917633 SP917633 ACL917633 AMH917633 AWD917633 BFZ917633 BPV917633 BZR917633 CJN917633 CTJ917633 DDF917633 DNB917633 DWX917633 EGT917633 EQP917633 FAL917633 FKH917633 FUD917633 GDZ917633 GNV917633 GXR917633 HHN917633 HRJ917633 IBF917633 ILB917633 IUX917633 JET917633 JOP917633 JYL917633 KIH917633 KSD917633 LBZ917633 LLV917633 LVR917633 MFN917633 MPJ917633 MZF917633 NJB917633 NSX917633 OCT917633 OMP917633 OWL917633 PGH917633 PQD917633 PZZ917633 QJV917633 QTR917633 RDN917633 RNJ917633 RXF917633 SHB917633 SQX917633 TAT917633 TKP917633 TUL917633 UEH917633 UOD917633 UXZ917633 VHV917633 VRR917633 WBN917633 WLJ917633 WVF917633 D983169 IT983169 SP983169 ACL983169 AMH983169 AWD983169 BFZ983169 BPV983169 BZR983169 CJN983169 CTJ983169 DDF983169 DNB983169 DWX983169 EGT983169 EQP983169 FAL983169 FKH983169 FUD983169 GDZ983169 GNV983169 GXR983169 HHN983169 HRJ983169 IBF983169 ILB983169 IUX983169 JET983169 JOP983169 JYL983169 KIH983169 KSD983169 LBZ983169 LLV983169 LVR983169 MFN983169 MPJ983169 MZF983169 NJB983169 NSX983169 OCT983169 OMP983169 OWL983169 PGH983169 PQD983169 PZZ983169 QJV983169 QTR983169 RDN983169 RNJ983169 RXF983169 SHB983169 SQX983169 TAT983169 TKP983169 TUL983169 UEH983169 UOD983169 UXZ983169 VHV983169 VRR983169 WBN983169 WLJ983169 WVF983169"/>
    <dataValidation type="decimal" operator="lessThanOrEqual" allowBlank="1" showInputMessage="1" showErrorMessage="1" error="No se pueden postular valores superiores a $100.000,00" sqref="E124 IU124 SQ124 ACM124 AMI124 AWE124 BGA124 BPW124 BZS124 CJO124 CTK124 DDG124 DNC124 DWY124 EGU124 EQQ124 FAM124 FKI124 FUE124 GEA124 GNW124 GXS124 HHO124 HRK124 IBG124 ILC124 IUY124 JEU124 JOQ124 JYM124 KII124 KSE124 LCA124 LLW124 LVS124 MFO124 MPK124 MZG124 NJC124 NSY124 OCU124 OMQ124 OWM124 PGI124 PQE124 QAA124 QJW124 QTS124 RDO124 RNK124 RXG124 SHC124 SQY124 TAU124 TKQ124 TUM124 UEI124 UOE124 UYA124 VHW124 VRS124 WBO124 WLK124 WVG124 E65665 IU65665 SQ65665 ACM65665 AMI65665 AWE65665 BGA65665 BPW65665 BZS65665 CJO65665 CTK65665 DDG65665 DNC65665 DWY65665 EGU65665 EQQ65665 FAM65665 FKI65665 FUE65665 GEA65665 GNW65665 GXS65665 HHO65665 HRK65665 IBG65665 ILC65665 IUY65665 JEU65665 JOQ65665 JYM65665 KII65665 KSE65665 LCA65665 LLW65665 LVS65665 MFO65665 MPK65665 MZG65665 NJC65665 NSY65665 OCU65665 OMQ65665 OWM65665 PGI65665 PQE65665 QAA65665 QJW65665 QTS65665 RDO65665 RNK65665 RXG65665 SHC65665 SQY65665 TAU65665 TKQ65665 TUM65665 UEI65665 UOE65665 UYA65665 VHW65665 VRS65665 WBO65665 WLK65665 WVG65665 E131201 IU131201 SQ131201 ACM131201 AMI131201 AWE131201 BGA131201 BPW131201 BZS131201 CJO131201 CTK131201 DDG131201 DNC131201 DWY131201 EGU131201 EQQ131201 FAM131201 FKI131201 FUE131201 GEA131201 GNW131201 GXS131201 HHO131201 HRK131201 IBG131201 ILC131201 IUY131201 JEU131201 JOQ131201 JYM131201 KII131201 KSE131201 LCA131201 LLW131201 LVS131201 MFO131201 MPK131201 MZG131201 NJC131201 NSY131201 OCU131201 OMQ131201 OWM131201 PGI131201 PQE131201 QAA131201 QJW131201 QTS131201 RDO131201 RNK131201 RXG131201 SHC131201 SQY131201 TAU131201 TKQ131201 TUM131201 UEI131201 UOE131201 UYA131201 VHW131201 VRS131201 WBO131201 WLK131201 WVG131201 E196737 IU196737 SQ196737 ACM196737 AMI196737 AWE196737 BGA196737 BPW196737 BZS196737 CJO196737 CTK196737 DDG196737 DNC196737 DWY196737 EGU196737 EQQ196737 FAM196737 FKI196737 FUE196737 GEA196737 GNW196737 GXS196737 HHO196737 HRK196737 IBG196737 ILC196737 IUY196737 JEU196737 JOQ196737 JYM196737 KII196737 KSE196737 LCA196737 LLW196737 LVS196737 MFO196737 MPK196737 MZG196737 NJC196737 NSY196737 OCU196737 OMQ196737 OWM196737 PGI196737 PQE196737 QAA196737 QJW196737 QTS196737 RDO196737 RNK196737 RXG196737 SHC196737 SQY196737 TAU196737 TKQ196737 TUM196737 UEI196737 UOE196737 UYA196737 VHW196737 VRS196737 WBO196737 WLK196737 WVG196737 E262273 IU262273 SQ262273 ACM262273 AMI262273 AWE262273 BGA262273 BPW262273 BZS262273 CJO262273 CTK262273 DDG262273 DNC262273 DWY262273 EGU262273 EQQ262273 FAM262273 FKI262273 FUE262273 GEA262273 GNW262273 GXS262273 HHO262273 HRK262273 IBG262273 ILC262273 IUY262273 JEU262273 JOQ262273 JYM262273 KII262273 KSE262273 LCA262273 LLW262273 LVS262273 MFO262273 MPK262273 MZG262273 NJC262273 NSY262273 OCU262273 OMQ262273 OWM262273 PGI262273 PQE262273 QAA262273 QJW262273 QTS262273 RDO262273 RNK262273 RXG262273 SHC262273 SQY262273 TAU262273 TKQ262273 TUM262273 UEI262273 UOE262273 UYA262273 VHW262273 VRS262273 WBO262273 WLK262273 WVG262273 E327809 IU327809 SQ327809 ACM327809 AMI327809 AWE327809 BGA327809 BPW327809 BZS327809 CJO327809 CTK327809 DDG327809 DNC327809 DWY327809 EGU327809 EQQ327809 FAM327809 FKI327809 FUE327809 GEA327809 GNW327809 GXS327809 HHO327809 HRK327809 IBG327809 ILC327809 IUY327809 JEU327809 JOQ327809 JYM327809 KII327809 KSE327809 LCA327809 LLW327809 LVS327809 MFO327809 MPK327809 MZG327809 NJC327809 NSY327809 OCU327809 OMQ327809 OWM327809 PGI327809 PQE327809 QAA327809 QJW327809 QTS327809 RDO327809 RNK327809 RXG327809 SHC327809 SQY327809 TAU327809 TKQ327809 TUM327809 UEI327809 UOE327809 UYA327809 VHW327809 VRS327809 WBO327809 WLK327809 WVG327809 E393345 IU393345 SQ393345 ACM393345 AMI393345 AWE393345 BGA393345 BPW393345 BZS393345 CJO393345 CTK393345 DDG393345 DNC393345 DWY393345 EGU393345 EQQ393345 FAM393345 FKI393345 FUE393345 GEA393345 GNW393345 GXS393345 HHO393345 HRK393345 IBG393345 ILC393345 IUY393345 JEU393345 JOQ393345 JYM393345 KII393345 KSE393345 LCA393345 LLW393345 LVS393345 MFO393345 MPK393345 MZG393345 NJC393345 NSY393345 OCU393345 OMQ393345 OWM393345 PGI393345 PQE393345 QAA393345 QJW393345 QTS393345 RDO393345 RNK393345 RXG393345 SHC393345 SQY393345 TAU393345 TKQ393345 TUM393345 UEI393345 UOE393345 UYA393345 VHW393345 VRS393345 WBO393345 WLK393345 WVG393345 E458881 IU458881 SQ458881 ACM458881 AMI458881 AWE458881 BGA458881 BPW458881 BZS458881 CJO458881 CTK458881 DDG458881 DNC458881 DWY458881 EGU458881 EQQ458881 FAM458881 FKI458881 FUE458881 GEA458881 GNW458881 GXS458881 HHO458881 HRK458881 IBG458881 ILC458881 IUY458881 JEU458881 JOQ458881 JYM458881 KII458881 KSE458881 LCA458881 LLW458881 LVS458881 MFO458881 MPK458881 MZG458881 NJC458881 NSY458881 OCU458881 OMQ458881 OWM458881 PGI458881 PQE458881 QAA458881 QJW458881 QTS458881 RDO458881 RNK458881 RXG458881 SHC458881 SQY458881 TAU458881 TKQ458881 TUM458881 UEI458881 UOE458881 UYA458881 VHW458881 VRS458881 WBO458881 WLK458881 WVG458881 E524417 IU524417 SQ524417 ACM524417 AMI524417 AWE524417 BGA524417 BPW524417 BZS524417 CJO524417 CTK524417 DDG524417 DNC524417 DWY524417 EGU524417 EQQ524417 FAM524417 FKI524417 FUE524417 GEA524417 GNW524417 GXS524417 HHO524417 HRK524417 IBG524417 ILC524417 IUY524417 JEU524417 JOQ524417 JYM524417 KII524417 KSE524417 LCA524417 LLW524417 LVS524417 MFO524417 MPK524417 MZG524417 NJC524417 NSY524417 OCU524417 OMQ524417 OWM524417 PGI524417 PQE524417 QAA524417 QJW524417 QTS524417 RDO524417 RNK524417 RXG524417 SHC524417 SQY524417 TAU524417 TKQ524417 TUM524417 UEI524417 UOE524417 UYA524417 VHW524417 VRS524417 WBO524417 WLK524417 WVG524417 E589953 IU589953 SQ589953 ACM589953 AMI589953 AWE589953 BGA589953 BPW589953 BZS589953 CJO589953 CTK589953 DDG589953 DNC589953 DWY589953 EGU589953 EQQ589953 FAM589953 FKI589953 FUE589953 GEA589953 GNW589953 GXS589953 HHO589953 HRK589953 IBG589953 ILC589953 IUY589953 JEU589953 JOQ589953 JYM589953 KII589953 KSE589953 LCA589953 LLW589953 LVS589953 MFO589953 MPK589953 MZG589953 NJC589953 NSY589953 OCU589953 OMQ589953 OWM589953 PGI589953 PQE589953 QAA589953 QJW589953 QTS589953 RDO589953 RNK589953 RXG589953 SHC589953 SQY589953 TAU589953 TKQ589953 TUM589953 UEI589953 UOE589953 UYA589953 VHW589953 VRS589953 WBO589953 WLK589953 WVG589953 E655489 IU655489 SQ655489 ACM655489 AMI655489 AWE655489 BGA655489 BPW655489 BZS655489 CJO655489 CTK655489 DDG655489 DNC655489 DWY655489 EGU655489 EQQ655489 FAM655489 FKI655489 FUE655489 GEA655489 GNW655489 GXS655489 HHO655489 HRK655489 IBG655489 ILC655489 IUY655489 JEU655489 JOQ655489 JYM655489 KII655489 KSE655489 LCA655489 LLW655489 LVS655489 MFO655489 MPK655489 MZG655489 NJC655489 NSY655489 OCU655489 OMQ655489 OWM655489 PGI655489 PQE655489 QAA655489 QJW655489 QTS655489 RDO655489 RNK655489 RXG655489 SHC655489 SQY655489 TAU655489 TKQ655489 TUM655489 UEI655489 UOE655489 UYA655489 VHW655489 VRS655489 WBO655489 WLK655489 WVG655489 E721025 IU721025 SQ721025 ACM721025 AMI721025 AWE721025 BGA721025 BPW721025 BZS721025 CJO721025 CTK721025 DDG721025 DNC721025 DWY721025 EGU721025 EQQ721025 FAM721025 FKI721025 FUE721025 GEA721025 GNW721025 GXS721025 HHO721025 HRK721025 IBG721025 ILC721025 IUY721025 JEU721025 JOQ721025 JYM721025 KII721025 KSE721025 LCA721025 LLW721025 LVS721025 MFO721025 MPK721025 MZG721025 NJC721025 NSY721025 OCU721025 OMQ721025 OWM721025 PGI721025 PQE721025 QAA721025 QJW721025 QTS721025 RDO721025 RNK721025 RXG721025 SHC721025 SQY721025 TAU721025 TKQ721025 TUM721025 UEI721025 UOE721025 UYA721025 VHW721025 VRS721025 WBO721025 WLK721025 WVG721025 E786561 IU786561 SQ786561 ACM786561 AMI786561 AWE786561 BGA786561 BPW786561 BZS786561 CJO786561 CTK786561 DDG786561 DNC786561 DWY786561 EGU786561 EQQ786561 FAM786561 FKI786561 FUE786561 GEA786561 GNW786561 GXS786561 HHO786561 HRK786561 IBG786561 ILC786561 IUY786561 JEU786561 JOQ786561 JYM786561 KII786561 KSE786561 LCA786561 LLW786561 LVS786561 MFO786561 MPK786561 MZG786561 NJC786561 NSY786561 OCU786561 OMQ786561 OWM786561 PGI786561 PQE786561 QAA786561 QJW786561 QTS786561 RDO786561 RNK786561 RXG786561 SHC786561 SQY786561 TAU786561 TKQ786561 TUM786561 UEI786561 UOE786561 UYA786561 VHW786561 VRS786561 WBO786561 WLK786561 WVG786561 E852097 IU852097 SQ852097 ACM852097 AMI852097 AWE852097 BGA852097 BPW852097 BZS852097 CJO852097 CTK852097 DDG852097 DNC852097 DWY852097 EGU852097 EQQ852097 FAM852097 FKI852097 FUE852097 GEA852097 GNW852097 GXS852097 HHO852097 HRK852097 IBG852097 ILC852097 IUY852097 JEU852097 JOQ852097 JYM852097 KII852097 KSE852097 LCA852097 LLW852097 LVS852097 MFO852097 MPK852097 MZG852097 NJC852097 NSY852097 OCU852097 OMQ852097 OWM852097 PGI852097 PQE852097 QAA852097 QJW852097 QTS852097 RDO852097 RNK852097 RXG852097 SHC852097 SQY852097 TAU852097 TKQ852097 TUM852097 UEI852097 UOE852097 UYA852097 VHW852097 VRS852097 WBO852097 WLK852097 WVG852097 E917633 IU917633 SQ917633 ACM917633 AMI917633 AWE917633 BGA917633 BPW917633 BZS917633 CJO917633 CTK917633 DDG917633 DNC917633 DWY917633 EGU917633 EQQ917633 FAM917633 FKI917633 FUE917633 GEA917633 GNW917633 GXS917633 HHO917633 HRK917633 IBG917633 ILC917633 IUY917633 JEU917633 JOQ917633 JYM917633 KII917633 KSE917633 LCA917633 LLW917633 LVS917633 MFO917633 MPK917633 MZG917633 NJC917633 NSY917633 OCU917633 OMQ917633 OWM917633 PGI917633 PQE917633 QAA917633 QJW917633 QTS917633 RDO917633 RNK917633 RXG917633 SHC917633 SQY917633 TAU917633 TKQ917633 TUM917633 UEI917633 UOE917633 UYA917633 VHW917633 VRS917633 WBO917633 WLK917633 WVG917633 E983169 IU983169 SQ983169 ACM983169 AMI983169 AWE983169 BGA983169 BPW983169 BZS983169 CJO983169 CTK983169 DDG983169 DNC983169 DWY983169 EGU983169 EQQ983169 FAM983169 FKI983169 FUE983169 GEA983169 GNW983169 GXS983169 HHO983169 HRK983169 IBG983169 ILC983169 IUY983169 JEU983169 JOQ983169 JYM983169 KII983169 KSE983169 LCA983169 LLW983169 LVS983169 MFO983169 MPK983169 MZG983169 NJC983169 NSY983169 OCU983169 OMQ983169 OWM983169 PGI983169 PQE983169 QAA983169 QJW983169 QTS983169 RDO983169 RNK983169 RXG983169 SHC983169 SQY983169 TAU983169 TKQ983169 TUM983169 UEI983169 UOE983169 UYA983169 VHW983169 VRS983169 WBO983169 WLK983169 WVG983169">
      <formula1>100000</formula1>
    </dataValidation>
    <dataValidation type="custom" allowBlank="1" showInputMessage="1" showErrorMessage="1" errorTitle="ERROR" error="No se puede aplicar a montos superiores a 250000" sqref="D142 IT142 SP142 ACL142 AMH142 AWD142 BFZ142 BPV142 BZR142 CJN142 CTJ142 DDF142 DNB142 DWX142 EGT142 EQP142 FAL142 FKH142 FUD142 GDZ142 GNV142 GXR142 HHN142 HRJ142 IBF142 ILB142 IUX142 JET142 JOP142 JYL142 KIH142 KSD142 LBZ142 LLV142 LVR142 MFN142 MPJ142 MZF142 NJB142 NSX142 OCT142 OMP142 OWL142 PGH142 PQD142 PZZ142 QJV142 QTR142 RDN142 RNJ142 RXF142 SHB142 SQX142 TAT142 TKP142 TUL142 UEH142 UOD142 UXZ142 VHV142 VRR142 WBN142 WLJ142 WVF142 D65683 IT65683 SP65683 ACL65683 AMH65683 AWD65683 BFZ65683 BPV65683 BZR65683 CJN65683 CTJ65683 DDF65683 DNB65683 DWX65683 EGT65683 EQP65683 FAL65683 FKH65683 FUD65683 GDZ65683 GNV65683 GXR65683 HHN65683 HRJ65683 IBF65683 ILB65683 IUX65683 JET65683 JOP65683 JYL65683 KIH65683 KSD65683 LBZ65683 LLV65683 LVR65683 MFN65683 MPJ65683 MZF65683 NJB65683 NSX65683 OCT65683 OMP65683 OWL65683 PGH65683 PQD65683 PZZ65683 QJV65683 QTR65683 RDN65683 RNJ65683 RXF65683 SHB65683 SQX65683 TAT65683 TKP65683 TUL65683 UEH65683 UOD65683 UXZ65683 VHV65683 VRR65683 WBN65683 WLJ65683 WVF65683 D131219 IT131219 SP131219 ACL131219 AMH131219 AWD131219 BFZ131219 BPV131219 BZR131219 CJN131219 CTJ131219 DDF131219 DNB131219 DWX131219 EGT131219 EQP131219 FAL131219 FKH131219 FUD131219 GDZ131219 GNV131219 GXR131219 HHN131219 HRJ131219 IBF131219 ILB131219 IUX131219 JET131219 JOP131219 JYL131219 KIH131219 KSD131219 LBZ131219 LLV131219 LVR131219 MFN131219 MPJ131219 MZF131219 NJB131219 NSX131219 OCT131219 OMP131219 OWL131219 PGH131219 PQD131219 PZZ131219 QJV131219 QTR131219 RDN131219 RNJ131219 RXF131219 SHB131219 SQX131219 TAT131219 TKP131219 TUL131219 UEH131219 UOD131219 UXZ131219 VHV131219 VRR131219 WBN131219 WLJ131219 WVF131219 D196755 IT196755 SP196755 ACL196755 AMH196755 AWD196755 BFZ196755 BPV196755 BZR196755 CJN196755 CTJ196755 DDF196755 DNB196755 DWX196755 EGT196755 EQP196755 FAL196755 FKH196755 FUD196755 GDZ196755 GNV196755 GXR196755 HHN196755 HRJ196755 IBF196755 ILB196755 IUX196755 JET196755 JOP196755 JYL196755 KIH196755 KSD196755 LBZ196755 LLV196755 LVR196755 MFN196755 MPJ196755 MZF196755 NJB196755 NSX196755 OCT196755 OMP196755 OWL196755 PGH196755 PQD196755 PZZ196755 QJV196755 QTR196755 RDN196755 RNJ196755 RXF196755 SHB196755 SQX196755 TAT196755 TKP196755 TUL196755 UEH196755 UOD196755 UXZ196755 VHV196755 VRR196755 WBN196755 WLJ196755 WVF196755 D262291 IT262291 SP262291 ACL262291 AMH262291 AWD262291 BFZ262291 BPV262291 BZR262291 CJN262291 CTJ262291 DDF262291 DNB262291 DWX262291 EGT262291 EQP262291 FAL262291 FKH262291 FUD262291 GDZ262291 GNV262291 GXR262291 HHN262291 HRJ262291 IBF262291 ILB262291 IUX262291 JET262291 JOP262291 JYL262291 KIH262291 KSD262291 LBZ262291 LLV262291 LVR262291 MFN262291 MPJ262291 MZF262291 NJB262291 NSX262291 OCT262291 OMP262291 OWL262291 PGH262291 PQD262291 PZZ262291 QJV262291 QTR262291 RDN262291 RNJ262291 RXF262291 SHB262291 SQX262291 TAT262291 TKP262291 TUL262291 UEH262291 UOD262291 UXZ262291 VHV262291 VRR262291 WBN262291 WLJ262291 WVF262291 D327827 IT327827 SP327827 ACL327827 AMH327827 AWD327827 BFZ327827 BPV327827 BZR327827 CJN327827 CTJ327827 DDF327827 DNB327827 DWX327827 EGT327827 EQP327827 FAL327827 FKH327827 FUD327827 GDZ327827 GNV327827 GXR327827 HHN327827 HRJ327827 IBF327827 ILB327827 IUX327827 JET327827 JOP327827 JYL327827 KIH327827 KSD327827 LBZ327827 LLV327827 LVR327827 MFN327827 MPJ327827 MZF327827 NJB327827 NSX327827 OCT327827 OMP327827 OWL327827 PGH327827 PQD327827 PZZ327827 QJV327827 QTR327827 RDN327827 RNJ327827 RXF327827 SHB327827 SQX327827 TAT327827 TKP327827 TUL327827 UEH327827 UOD327827 UXZ327827 VHV327827 VRR327827 WBN327827 WLJ327827 WVF327827 D393363 IT393363 SP393363 ACL393363 AMH393363 AWD393363 BFZ393363 BPV393363 BZR393363 CJN393363 CTJ393363 DDF393363 DNB393363 DWX393363 EGT393363 EQP393363 FAL393363 FKH393363 FUD393363 GDZ393363 GNV393363 GXR393363 HHN393363 HRJ393363 IBF393363 ILB393363 IUX393363 JET393363 JOP393363 JYL393363 KIH393363 KSD393363 LBZ393363 LLV393363 LVR393363 MFN393363 MPJ393363 MZF393363 NJB393363 NSX393363 OCT393363 OMP393363 OWL393363 PGH393363 PQD393363 PZZ393363 QJV393363 QTR393363 RDN393363 RNJ393363 RXF393363 SHB393363 SQX393363 TAT393363 TKP393363 TUL393363 UEH393363 UOD393363 UXZ393363 VHV393363 VRR393363 WBN393363 WLJ393363 WVF393363 D458899 IT458899 SP458899 ACL458899 AMH458899 AWD458899 BFZ458899 BPV458899 BZR458899 CJN458899 CTJ458899 DDF458899 DNB458899 DWX458899 EGT458899 EQP458899 FAL458899 FKH458899 FUD458899 GDZ458899 GNV458899 GXR458899 HHN458899 HRJ458899 IBF458899 ILB458899 IUX458899 JET458899 JOP458899 JYL458899 KIH458899 KSD458899 LBZ458899 LLV458899 LVR458899 MFN458899 MPJ458899 MZF458899 NJB458899 NSX458899 OCT458899 OMP458899 OWL458899 PGH458899 PQD458899 PZZ458899 QJV458899 QTR458899 RDN458899 RNJ458899 RXF458899 SHB458899 SQX458899 TAT458899 TKP458899 TUL458899 UEH458899 UOD458899 UXZ458899 VHV458899 VRR458899 WBN458899 WLJ458899 WVF458899 D524435 IT524435 SP524435 ACL524435 AMH524435 AWD524435 BFZ524435 BPV524435 BZR524435 CJN524435 CTJ524435 DDF524435 DNB524435 DWX524435 EGT524435 EQP524435 FAL524435 FKH524435 FUD524435 GDZ524435 GNV524435 GXR524435 HHN524435 HRJ524435 IBF524435 ILB524435 IUX524435 JET524435 JOP524435 JYL524435 KIH524435 KSD524435 LBZ524435 LLV524435 LVR524435 MFN524435 MPJ524435 MZF524435 NJB524435 NSX524435 OCT524435 OMP524435 OWL524435 PGH524435 PQD524435 PZZ524435 QJV524435 QTR524435 RDN524435 RNJ524435 RXF524435 SHB524435 SQX524435 TAT524435 TKP524435 TUL524435 UEH524435 UOD524435 UXZ524435 VHV524435 VRR524435 WBN524435 WLJ524435 WVF524435 D589971 IT589971 SP589971 ACL589971 AMH589971 AWD589971 BFZ589971 BPV589971 BZR589971 CJN589971 CTJ589971 DDF589971 DNB589971 DWX589971 EGT589971 EQP589971 FAL589971 FKH589971 FUD589971 GDZ589971 GNV589971 GXR589971 HHN589971 HRJ589971 IBF589971 ILB589971 IUX589971 JET589971 JOP589971 JYL589971 KIH589971 KSD589971 LBZ589971 LLV589971 LVR589971 MFN589971 MPJ589971 MZF589971 NJB589971 NSX589971 OCT589971 OMP589971 OWL589971 PGH589971 PQD589971 PZZ589971 QJV589971 QTR589971 RDN589971 RNJ589971 RXF589971 SHB589971 SQX589971 TAT589971 TKP589971 TUL589971 UEH589971 UOD589971 UXZ589971 VHV589971 VRR589971 WBN589971 WLJ589971 WVF589971 D655507 IT655507 SP655507 ACL655507 AMH655507 AWD655507 BFZ655507 BPV655507 BZR655507 CJN655507 CTJ655507 DDF655507 DNB655507 DWX655507 EGT655507 EQP655507 FAL655507 FKH655507 FUD655507 GDZ655507 GNV655507 GXR655507 HHN655507 HRJ655507 IBF655507 ILB655507 IUX655507 JET655507 JOP655507 JYL655507 KIH655507 KSD655507 LBZ655507 LLV655507 LVR655507 MFN655507 MPJ655507 MZF655507 NJB655507 NSX655507 OCT655507 OMP655507 OWL655507 PGH655507 PQD655507 PZZ655507 QJV655507 QTR655507 RDN655507 RNJ655507 RXF655507 SHB655507 SQX655507 TAT655507 TKP655507 TUL655507 UEH655507 UOD655507 UXZ655507 VHV655507 VRR655507 WBN655507 WLJ655507 WVF655507 D721043 IT721043 SP721043 ACL721043 AMH721043 AWD721043 BFZ721043 BPV721043 BZR721043 CJN721043 CTJ721043 DDF721043 DNB721043 DWX721043 EGT721043 EQP721043 FAL721043 FKH721043 FUD721043 GDZ721043 GNV721043 GXR721043 HHN721043 HRJ721043 IBF721043 ILB721043 IUX721043 JET721043 JOP721043 JYL721043 KIH721043 KSD721043 LBZ721043 LLV721043 LVR721043 MFN721043 MPJ721043 MZF721043 NJB721043 NSX721043 OCT721043 OMP721043 OWL721043 PGH721043 PQD721043 PZZ721043 QJV721043 QTR721043 RDN721043 RNJ721043 RXF721043 SHB721043 SQX721043 TAT721043 TKP721043 TUL721043 UEH721043 UOD721043 UXZ721043 VHV721043 VRR721043 WBN721043 WLJ721043 WVF721043 D786579 IT786579 SP786579 ACL786579 AMH786579 AWD786579 BFZ786579 BPV786579 BZR786579 CJN786579 CTJ786579 DDF786579 DNB786579 DWX786579 EGT786579 EQP786579 FAL786579 FKH786579 FUD786579 GDZ786579 GNV786579 GXR786579 HHN786579 HRJ786579 IBF786579 ILB786579 IUX786579 JET786579 JOP786579 JYL786579 KIH786579 KSD786579 LBZ786579 LLV786579 LVR786579 MFN786579 MPJ786579 MZF786579 NJB786579 NSX786579 OCT786579 OMP786579 OWL786579 PGH786579 PQD786579 PZZ786579 QJV786579 QTR786579 RDN786579 RNJ786579 RXF786579 SHB786579 SQX786579 TAT786579 TKP786579 TUL786579 UEH786579 UOD786579 UXZ786579 VHV786579 VRR786579 WBN786579 WLJ786579 WVF786579 D852115 IT852115 SP852115 ACL852115 AMH852115 AWD852115 BFZ852115 BPV852115 BZR852115 CJN852115 CTJ852115 DDF852115 DNB852115 DWX852115 EGT852115 EQP852115 FAL852115 FKH852115 FUD852115 GDZ852115 GNV852115 GXR852115 HHN852115 HRJ852115 IBF852115 ILB852115 IUX852115 JET852115 JOP852115 JYL852115 KIH852115 KSD852115 LBZ852115 LLV852115 LVR852115 MFN852115 MPJ852115 MZF852115 NJB852115 NSX852115 OCT852115 OMP852115 OWL852115 PGH852115 PQD852115 PZZ852115 QJV852115 QTR852115 RDN852115 RNJ852115 RXF852115 SHB852115 SQX852115 TAT852115 TKP852115 TUL852115 UEH852115 UOD852115 UXZ852115 VHV852115 VRR852115 WBN852115 WLJ852115 WVF852115 D917651 IT917651 SP917651 ACL917651 AMH917651 AWD917651 BFZ917651 BPV917651 BZR917651 CJN917651 CTJ917651 DDF917651 DNB917651 DWX917651 EGT917651 EQP917651 FAL917651 FKH917651 FUD917651 GDZ917651 GNV917651 GXR917651 HHN917651 HRJ917651 IBF917651 ILB917651 IUX917651 JET917651 JOP917651 JYL917651 KIH917651 KSD917651 LBZ917651 LLV917651 LVR917651 MFN917651 MPJ917651 MZF917651 NJB917651 NSX917651 OCT917651 OMP917651 OWL917651 PGH917651 PQD917651 PZZ917651 QJV917651 QTR917651 RDN917651 RNJ917651 RXF917651 SHB917651 SQX917651 TAT917651 TKP917651 TUL917651 UEH917651 UOD917651 UXZ917651 VHV917651 VRR917651 WBN917651 WLJ917651 WVF917651 D983187 IT983187 SP983187 ACL983187 AMH983187 AWD983187 BFZ983187 BPV983187 BZR983187 CJN983187 CTJ983187 DDF983187 DNB983187 DWX983187 EGT983187 EQP983187 FAL983187 FKH983187 FUD983187 GDZ983187 GNV983187 GXR983187 HHN983187 HRJ983187 IBF983187 ILB983187 IUX983187 JET983187 JOP983187 JYL983187 KIH983187 KSD983187 LBZ983187 LLV983187 LVR983187 MFN983187 MPJ983187 MZF983187 NJB983187 NSX983187 OCT983187 OMP983187 OWL983187 PGH983187 PQD983187 PZZ983187 QJV983187 QTR983187 RDN983187 RNJ983187 RXF983187 SHB983187 SQX983187 TAT983187 TKP983187 TUL983187 UEH983187 UOD983187 UXZ983187 VHV983187 VRR983187 WBN983187 WLJ983187 WVF983187">
      <formula1>$D$142&lt;250000.01</formula1>
    </dataValidation>
    <dataValidation type="textLength" operator="equal" allowBlank="1" showInputMessage="1" showErrorMessage="1" sqref="D10">
      <formula1>13</formula1>
    </dataValidation>
    <dataValidation type="textLength" operator="equal" allowBlank="1" showInputMessage="1" showErrorMessage="1" sqref="D33">
      <formula1>8</formula1>
    </dataValidation>
    <dataValidation type="textLength" operator="lessThanOrEqual" allowBlank="1" showInputMessage="1" showErrorMessage="1" sqref="C91:D93 C96:D98 C106:D108">
      <formula1>500</formula1>
    </dataValidation>
    <dataValidation type="textLength" operator="lessThanOrEqual" allowBlank="1" showInputMessage="1" showErrorMessage="1" sqref="C115:D117">
      <formula1>200</formula1>
    </dataValidation>
    <dataValidation type="textLength" operator="equal" allowBlank="1" showInputMessage="1" showErrorMessage="1" sqref="H33">
      <formula1>9</formula1>
    </dataValidation>
    <dataValidation type="date" operator="lessThan" allowBlank="1" showInputMessage="1" showErrorMessage="1" error="Debe ingresar una fecha en el formato dd/mm/aaaa" sqref="G183:I186">
      <formula1>54789</formula1>
    </dataValidation>
  </dataValidations>
  <pageMargins left="0.70866141732283472" right="0.70866141732283472" top="0.74803149606299213" bottom="0.74803149606299213" header="0.31496062992125984" footer="0.31496062992125984"/>
  <pageSetup paperSize="9" scale="36" fitToHeight="2" orientation="portrait" r:id="rId1"/>
  <drawing r:id="rId2"/>
  <legacyDrawing r:id="rId3"/>
  <extLst xmlns:x14="http://schemas.microsoft.com/office/spreadsheetml/2009/9/main">
    <ext uri="{CCE6A557-97BC-4b89-ADB6-D9C93CAAB3DF}">
      <x14:dataValidations xmlns:xm="http://schemas.microsoft.com/office/excel/2006/main" count="10">
        <x14:dataValidation type="list" allowBlank="1" showInputMessage="1" showErrorMessage="1">
          <x14:formula1>
            <xm:f>#REF!</xm:f>
          </x14:formula1>
          <xm:sqref>SP179 ACL179 AMH179 AWD179 BFZ179 BPV179 BZR179 CJN179 CTJ179 DDF179 DNB179 DWX179 EGT179 EQP179 FAL179 FKH179 FUD179 GDZ179 GNV179 GXR179 HHN179 HRJ179 IBF179 ILB179 IUX179 JET179 JOP179 JYL179 KIH179 KSD179 LBZ179 LLV179 LVR179 MFN179 MPJ179 MZF179 NJB179 NSX179 OCT179 OMP179 OWL179 PGH179 PQD179 PZZ179 QJV179 QTR179 RDN179 RNJ179 RXF179 SHB179 SQX179 TAT179 TKP179 TUL179 UEH179 UOD179 UXZ179 VHV179 VRR179 WBN179 WLJ179 WVF179 IT65718:IT65719 SP65718:SP65719 ACL65718:ACL65719 AMH65718:AMH65719 AWD65718:AWD65719 BFZ65718:BFZ65719 BPV65718:BPV65719 BZR65718:BZR65719 CJN65718:CJN65719 CTJ65718:CTJ65719 DDF65718:DDF65719 DNB65718:DNB65719 DWX65718:DWX65719 EGT65718:EGT65719 EQP65718:EQP65719 FAL65718:FAL65719 FKH65718:FKH65719 FUD65718:FUD65719 GDZ65718:GDZ65719 GNV65718:GNV65719 GXR65718:GXR65719 HHN65718:HHN65719 HRJ65718:HRJ65719 IBF65718:IBF65719 ILB65718:ILB65719 IUX65718:IUX65719 JET65718:JET65719 JOP65718:JOP65719 JYL65718:JYL65719 KIH65718:KIH65719 KSD65718:KSD65719 LBZ65718:LBZ65719 LLV65718:LLV65719 LVR65718:LVR65719 MFN65718:MFN65719 MPJ65718:MPJ65719 MZF65718:MZF65719 NJB65718:NJB65719 NSX65718:NSX65719 OCT65718:OCT65719 OMP65718:OMP65719 OWL65718:OWL65719 PGH65718:PGH65719 PQD65718:PQD65719 PZZ65718:PZZ65719 QJV65718:QJV65719 QTR65718:QTR65719 RDN65718:RDN65719 RNJ65718:RNJ65719 RXF65718:RXF65719 SHB65718:SHB65719 SQX65718:SQX65719 TAT65718:TAT65719 TKP65718:TKP65719 TUL65718:TUL65719 UEH65718:UEH65719 UOD65718:UOD65719 UXZ65718:UXZ65719 VHV65718:VHV65719 VRR65718:VRR65719 WBN65718:WBN65719 WLJ65718:WLJ65719 WVF65718:WVF65719 D131254:D131255 IT131254:IT131255 SP131254:SP131255 ACL131254:ACL131255 AMH131254:AMH131255 AWD131254:AWD131255 BFZ131254:BFZ131255 BPV131254:BPV131255 BZR131254:BZR131255 CJN131254:CJN131255 CTJ131254:CTJ131255 DDF131254:DDF131255 DNB131254:DNB131255 DWX131254:DWX131255 EGT131254:EGT131255 EQP131254:EQP131255 FAL131254:FAL131255 FKH131254:FKH131255 FUD131254:FUD131255 GDZ131254:GDZ131255 GNV131254:GNV131255 GXR131254:GXR131255 HHN131254:HHN131255 HRJ131254:HRJ131255 IBF131254:IBF131255 ILB131254:ILB131255 IUX131254:IUX131255 JET131254:JET131255 JOP131254:JOP131255 JYL131254:JYL131255 KIH131254:KIH131255 KSD131254:KSD131255 LBZ131254:LBZ131255 LLV131254:LLV131255 LVR131254:LVR131255 MFN131254:MFN131255 MPJ131254:MPJ131255 MZF131254:MZF131255 NJB131254:NJB131255 NSX131254:NSX131255 OCT131254:OCT131255 OMP131254:OMP131255 OWL131254:OWL131255 PGH131254:PGH131255 PQD131254:PQD131255 PZZ131254:PZZ131255 QJV131254:QJV131255 QTR131254:QTR131255 RDN131254:RDN131255 RNJ131254:RNJ131255 RXF131254:RXF131255 SHB131254:SHB131255 SQX131254:SQX131255 TAT131254:TAT131255 TKP131254:TKP131255 TUL131254:TUL131255 UEH131254:UEH131255 UOD131254:UOD131255 UXZ131254:UXZ131255 VHV131254:VHV131255 VRR131254:VRR131255 WBN131254:WBN131255 WLJ131254:WLJ131255 WVF131254:WVF131255 D196790:D196791 IT196790:IT196791 SP196790:SP196791 ACL196790:ACL196791 AMH196790:AMH196791 AWD196790:AWD196791 BFZ196790:BFZ196791 BPV196790:BPV196791 BZR196790:BZR196791 CJN196790:CJN196791 CTJ196790:CTJ196791 DDF196790:DDF196791 DNB196790:DNB196791 DWX196790:DWX196791 EGT196790:EGT196791 EQP196790:EQP196791 FAL196790:FAL196791 FKH196790:FKH196791 FUD196790:FUD196791 GDZ196790:GDZ196791 GNV196790:GNV196791 GXR196790:GXR196791 HHN196790:HHN196791 HRJ196790:HRJ196791 IBF196790:IBF196791 ILB196790:ILB196791 IUX196790:IUX196791 JET196790:JET196791 JOP196790:JOP196791 JYL196790:JYL196791 KIH196790:KIH196791 KSD196790:KSD196791 LBZ196790:LBZ196791 LLV196790:LLV196791 LVR196790:LVR196791 MFN196790:MFN196791 MPJ196790:MPJ196791 MZF196790:MZF196791 NJB196790:NJB196791 NSX196790:NSX196791 OCT196790:OCT196791 OMP196790:OMP196791 OWL196790:OWL196791 PGH196790:PGH196791 PQD196790:PQD196791 PZZ196790:PZZ196791 QJV196790:QJV196791 QTR196790:QTR196791 RDN196790:RDN196791 RNJ196790:RNJ196791 RXF196790:RXF196791 SHB196790:SHB196791 SQX196790:SQX196791 TAT196790:TAT196791 TKP196790:TKP196791 TUL196790:TUL196791 UEH196790:UEH196791 UOD196790:UOD196791 UXZ196790:UXZ196791 VHV196790:VHV196791 VRR196790:VRR196791 WBN196790:WBN196791 WLJ196790:WLJ196791 WVF196790:WVF196791 D262326:D262327 IT262326:IT262327 SP262326:SP262327 ACL262326:ACL262327 AMH262326:AMH262327 AWD262326:AWD262327 BFZ262326:BFZ262327 BPV262326:BPV262327 BZR262326:BZR262327 CJN262326:CJN262327 CTJ262326:CTJ262327 DDF262326:DDF262327 DNB262326:DNB262327 DWX262326:DWX262327 EGT262326:EGT262327 EQP262326:EQP262327 FAL262326:FAL262327 FKH262326:FKH262327 FUD262326:FUD262327 GDZ262326:GDZ262327 GNV262326:GNV262327 GXR262326:GXR262327 HHN262326:HHN262327 HRJ262326:HRJ262327 IBF262326:IBF262327 ILB262326:ILB262327 IUX262326:IUX262327 JET262326:JET262327 JOP262326:JOP262327 JYL262326:JYL262327 KIH262326:KIH262327 KSD262326:KSD262327 LBZ262326:LBZ262327 LLV262326:LLV262327 LVR262326:LVR262327 MFN262326:MFN262327 MPJ262326:MPJ262327 MZF262326:MZF262327 NJB262326:NJB262327 NSX262326:NSX262327 OCT262326:OCT262327 OMP262326:OMP262327 OWL262326:OWL262327 PGH262326:PGH262327 PQD262326:PQD262327 PZZ262326:PZZ262327 QJV262326:QJV262327 QTR262326:QTR262327 RDN262326:RDN262327 RNJ262326:RNJ262327 RXF262326:RXF262327 SHB262326:SHB262327 SQX262326:SQX262327 TAT262326:TAT262327 TKP262326:TKP262327 TUL262326:TUL262327 UEH262326:UEH262327 UOD262326:UOD262327 UXZ262326:UXZ262327 VHV262326:VHV262327 VRR262326:VRR262327 WBN262326:WBN262327 WLJ262326:WLJ262327 WVF262326:WVF262327 D327862:D327863 IT327862:IT327863 SP327862:SP327863 ACL327862:ACL327863 AMH327862:AMH327863 AWD327862:AWD327863 BFZ327862:BFZ327863 BPV327862:BPV327863 BZR327862:BZR327863 CJN327862:CJN327863 CTJ327862:CTJ327863 DDF327862:DDF327863 DNB327862:DNB327863 DWX327862:DWX327863 EGT327862:EGT327863 EQP327862:EQP327863 FAL327862:FAL327863 FKH327862:FKH327863 FUD327862:FUD327863 GDZ327862:GDZ327863 GNV327862:GNV327863 GXR327862:GXR327863 HHN327862:HHN327863 HRJ327862:HRJ327863 IBF327862:IBF327863 ILB327862:ILB327863 IUX327862:IUX327863 JET327862:JET327863 JOP327862:JOP327863 JYL327862:JYL327863 KIH327862:KIH327863 KSD327862:KSD327863 LBZ327862:LBZ327863 LLV327862:LLV327863 LVR327862:LVR327863 MFN327862:MFN327863 MPJ327862:MPJ327863 MZF327862:MZF327863 NJB327862:NJB327863 NSX327862:NSX327863 OCT327862:OCT327863 OMP327862:OMP327863 OWL327862:OWL327863 PGH327862:PGH327863 PQD327862:PQD327863 PZZ327862:PZZ327863 QJV327862:QJV327863 QTR327862:QTR327863 RDN327862:RDN327863 RNJ327862:RNJ327863 RXF327862:RXF327863 SHB327862:SHB327863 SQX327862:SQX327863 TAT327862:TAT327863 TKP327862:TKP327863 TUL327862:TUL327863 UEH327862:UEH327863 UOD327862:UOD327863 UXZ327862:UXZ327863 VHV327862:VHV327863 VRR327862:VRR327863 WBN327862:WBN327863 WLJ327862:WLJ327863 WVF327862:WVF327863 D393398:D393399 IT393398:IT393399 SP393398:SP393399 ACL393398:ACL393399 AMH393398:AMH393399 AWD393398:AWD393399 BFZ393398:BFZ393399 BPV393398:BPV393399 BZR393398:BZR393399 CJN393398:CJN393399 CTJ393398:CTJ393399 DDF393398:DDF393399 DNB393398:DNB393399 DWX393398:DWX393399 EGT393398:EGT393399 EQP393398:EQP393399 FAL393398:FAL393399 FKH393398:FKH393399 FUD393398:FUD393399 GDZ393398:GDZ393399 GNV393398:GNV393399 GXR393398:GXR393399 HHN393398:HHN393399 HRJ393398:HRJ393399 IBF393398:IBF393399 ILB393398:ILB393399 IUX393398:IUX393399 JET393398:JET393399 JOP393398:JOP393399 JYL393398:JYL393399 KIH393398:KIH393399 KSD393398:KSD393399 LBZ393398:LBZ393399 LLV393398:LLV393399 LVR393398:LVR393399 MFN393398:MFN393399 MPJ393398:MPJ393399 MZF393398:MZF393399 NJB393398:NJB393399 NSX393398:NSX393399 OCT393398:OCT393399 OMP393398:OMP393399 OWL393398:OWL393399 PGH393398:PGH393399 PQD393398:PQD393399 PZZ393398:PZZ393399 QJV393398:QJV393399 QTR393398:QTR393399 RDN393398:RDN393399 RNJ393398:RNJ393399 RXF393398:RXF393399 SHB393398:SHB393399 SQX393398:SQX393399 TAT393398:TAT393399 TKP393398:TKP393399 TUL393398:TUL393399 UEH393398:UEH393399 UOD393398:UOD393399 UXZ393398:UXZ393399 VHV393398:VHV393399 VRR393398:VRR393399 WBN393398:WBN393399 WLJ393398:WLJ393399 WVF393398:WVF393399 D458934:D458935 IT458934:IT458935 SP458934:SP458935 ACL458934:ACL458935 AMH458934:AMH458935 AWD458934:AWD458935 BFZ458934:BFZ458935 BPV458934:BPV458935 BZR458934:BZR458935 CJN458934:CJN458935 CTJ458934:CTJ458935 DDF458934:DDF458935 DNB458934:DNB458935 DWX458934:DWX458935 EGT458934:EGT458935 EQP458934:EQP458935 FAL458934:FAL458935 FKH458934:FKH458935 FUD458934:FUD458935 GDZ458934:GDZ458935 GNV458934:GNV458935 GXR458934:GXR458935 HHN458934:HHN458935 HRJ458934:HRJ458935 IBF458934:IBF458935 ILB458934:ILB458935 IUX458934:IUX458935 JET458934:JET458935 JOP458934:JOP458935 JYL458934:JYL458935 KIH458934:KIH458935 KSD458934:KSD458935 LBZ458934:LBZ458935 LLV458934:LLV458935 LVR458934:LVR458935 MFN458934:MFN458935 MPJ458934:MPJ458935 MZF458934:MZF458935 NJB458934:NJB458935 NSX458934:NSX458935 OCT458934:OCT458935 OMP458934:OMP458935 OWL458934:OWL458935 PGH458934:PGH458935 PQD458934:PQD458935 PZZ458934:PZZ458935 QJV458934:QJV458935 QTR458934:QTR458935 RDN458934:RDN458935 RNJ458934:RNJ458935 RXF458934:RXF458935 SHB458934:SHB458935 SQX458934:SQX458935 TAT458934:TAT458935 TKP458934:TKP458935 TUL458934:TUL458935 UEH458934:UEH458935 UOD458934:UOD458935 UXZ458934:UXZ458935 VHV458934:VHV458935 VRR458934:VRR458935 WBN458934:WBN458935 WLJ458934:WLJ458935 WVF458934:WVF458935 D524470:D524471 IT524470:IT524471 SP524470:SP524471 ACL524470:ACL524471 AMH524470:AMH524471 AWD524470:AWD524471 BFZ524470:BFZ524471 BPV524470:BPV524471 BZR524470:BZR524471 CJN524470:CJN524471 CTJ524470:CTJ524471 DDF524470:DDF524471 DNB524470:DNB524471 DWX524470:DWX524471 EGT524470:EGT524471 EQP524470:EQP524471 FAL524470:FAL524471 FKH524470:FKH524471 FUD524470:FUD524471 GDZ524470:GDZ524471 GNV524470:GNV524471 GXR524470:GXR524471 HHN524470:HHN524471 HRJ524470:HRJ524471 IBF524470:IBF524471 ILB524470:ILB524471 IUX524470:IUX524471 JET524470:JET524471 JOP524470:JOP524471 JYL524470:JYL524471 KIH524470:KIH524471 KSD524470:KSD524471 LBZ524470:LBZ524471 LLV524470:LLV524471 LVR524470:LVR524471 MFN524470:MFN524471 MPJ524470:MPJ524471 MZF524470:MZF524471 NJB524470:NJB524471 NSX524470:NSX524471 OCT524470:OCT524471 OMP524470:OMP524471 OWL524470:OWL524471 PGH524470:PGH524471 PQD524470:PQD524471 PZZ524470:PZZ524471 QJV524470:QJV524471 QTR524470:QTR524471 RDN524470:RDN524471 RNJ524470:RNJ524471 RXF524470:RXF524471 SHB524470:SHB524471 SQX524470:SQX524471 TAT524470:TAT524471 TKP524470:TKP524471 TUL524470:TUL524471 UEH524470:UEH524471 UOD524470:UOD524471 UXZ524470:UXZ524471 VHV524470:VHV524471 VRR524470:VRR524471 WBN524470:WBN524471 WLJ524470:WLJ524471 WVF524470:WVF524471 D590006:D590007 IT590006:IT590007 SP590006:SP590007 ACL590006:ACL590007 AMH590006:AMH590007 AWD590006:AWD590007 BFZ590006:BFZ590007 BPV590006:BPV590007 BZR590006:BZR590007 CJN590006:CJN590007 CTJ590006:CTJ590007 DDF590006:DDF590007 DNB590006:DNB590007 DWX590006:DWX590007 EGT590006:EGT590007 EQP590006:EQP590007 FAL590006:FAL590007 FKH590006:FKH590007 FUD590006:FUD590007 GDZ590006:GDZ590007 GNV590006:GNV590007 GXR590006:GXR590007 HHN590006:HHN590007 HRJ590006:HRJ590007 IBF590006:IBF590007 ILB590006:ILB590007 IUX590006:IUX590007 JET590006:JET590007 JOP590006:JOP590007 JYL590006:JYL590007 KIH590006:KIH590007 KSD590006:KSD590007 LBZ590006:LBZ590007 LLV590006:LLV590007 LVR590006:LVR590007 MFN590006:MFN590007 MPJ590006:MPJ590007 MZF590006:MZF590007 NJB590006:NJB590007 NSX590006:NSX590007 OCT590006:OCT590007 OMP590006:OMP590007 OWL590006:OWL590007 PGH590006:PGH590007 PQD590006:PQD590007 PZZ590006:PZZ590007 QJV590006:QJV590007 QTR590006:QTR590007 RDN590006:RDN590007 RNJ590006:RNJ590007 RXF590006:RXF590007 SHB590006:SHB590007 SQX590006:SQX590007 TAT590006:TAT590007 TKP590006:TKP590007 TUL590006:TUL590007 UEH590006:UEH590007 UOD590006:UOD590007 UXZ590006:UXZ590007 VHV590006:VHV590007 VRR590006:VRR590007 WBN590006:WBN590007 WLJ590006:WLJ590007 WVF590006:WVF590007 D655542:D655543 IT655542:IT655543 SP655542:SP655543 ACL655542:ACL655543 AMH655542:AMH655543 AWD655542:AWD655543 BFZ655542:BFZ655543 BPV655542:BPV655543 BZR655542:BZR655543 CJN655542:CJN655543 CTJ655542:CTJ655543 DDF655542:DDF655543 DNB655542:DNB655543 DWX655542:DWX655543 EGT655542:EGT655543 EQP655542:EQP655543 FAL655542:FAL655543 FKH655542:FKH655543 FUD655542:FUD655543 GDZ655542:GDZ655543 GNV655542:GNV655543 GXR655542:GXR655543 HHN655542:HHN655543 HRJ655542:HRJ655543 IBF655542:IBF655543 ILB655542:ILB655543 IUX655542:IUX655543 JET655542:JET655543 JOP655542:JOP655543 JYL655542:JYL655543 KIH655542:KIH655543 KSD655542:KSD655543 LBZ655542:LBZ655543 LLV655542:LLV655543 LVR655542:LVR655543 MFN655542:MFN655543 MPJ655542:MPJ655543 MZF655542:MZF655543 NJB655542:NJB655543 NSX655542:NSX655543 OCT655542:OCT655543 OMP655542:OMP655543 OWL655542:OWL655543 PGH655542:PGH655543 PQD655542:PQD655543 PZZ655542:PZZ655543 QJV655542:QJV655543 QTR655542:QTR655543 RDN655542:RDN655543 RNJ655542:RNJ655543 RXF655542:RXF655543 SHB655542:SHB655543 SQX655542:SQX655543 TAT655542:TAT655543 TKP655542:TKP655543 TUL655542:TUL655543 UEH655542:UEH655543 UOD655542:UOD655543 UXZ655542:UXZ655543 VHV655542:VHV655543 VRR655542:VRR655543 WBN655542:WBN655543 WLJ655542:WLJ655543 WVF655542:WVF655543 D721078:D721079 IT721078:IT721079 SP721078:SP721079 ACL721078:ACL721079 AMH721078:AMH721079 AWD721078:AWD721079 BFZ721078:BFZ721079 BPV721078:BPV721079 BZR721078:BZR721079 CJN721078:CJN721079 CTJ721078:CTJ721079 DDF721078:DDF721079 DNB721078:DNB721079 DWX721078:DWX721079 EGT721078:EGT721079 EQP721078:EQP721079 FAL721078:FAL721079 FKH721078:FKH721079 FUD721078:FUD721079 GDZ721078:GDZ721079 GNV721078:GNV721079 GXR721078:GXR721079 HHN721078:HHN721079 HRJ721078:HRJ721079 IBF721078:IBF721079 ILB721078:ILB721079 IUX721078:IUX721079 JET721078:JET721079 JOP721078:JOP721079 JYL721078:JYL721079 KIH721078:KIH721079 KSD721078:KSD721079 LBZ721078:LBZ721079 LLV721078:LLV721079 LVR721078:LVR721079 MFN721078:MFN721079 MPJ721078:MPJ721079 MZF721078:MZF721079 NJB721078:NJB721079 NSX721078:NSX721079 OCT721078:OCT721079 OMP721078:OMP721079 OWL721078:OWL721079 PGH721078:PGH721079 PQD721078:PQD721079 PZZ721078:PZZ721079 QJV721078:QJV721079 QTR721078:QTR721079 RDN721078:RDN721079 RNJ721078:RNJ721079 RXF721078:RXF721079 SHB721078:SHB721079 SQX721078:SQX721079 TAT721078:TAT721079 TKP721078:TKP721079 TUL721078:TUL721079 UEH721078:UEH721079 UOD721078:UOD721079 UXZ721078:UXZ721079 VHV721078:VHV721079 VRR721078:VRR721079 WBN721078:WBN721079 WLJ721078:WLJ721079 WVF721078:WVF721079 D786614:D786615 IT786614:IT786615 SP786614:SP786615 ACL786614:ACL786615 AMH786614:AMH786615 AWD786614:AWD786615 BFZ786614:BFZ786615 BPV786614:BPV786615 BZR786614:BZR786615 CJN786614:CJN786615 CTJ786614:CTJ786615 DDF786614:DDF786615 DNB786614:DNB786615 DWX786614:DWX786615 EGT786614:EGT786615 EQP786614:EQP786615 FAL786614:FAL786615 FKH786614:FKH786615 FUD786614:FUD786615 GDZ786614:GDZ786615 GNV786614:GNV786615 GXR786614:GXR786615 HHN786614:HHN786615 HRJ786614:HRJ786615 IBF786614:IBF786615 ILB786614:ILB786615 IUX786614:IUX786615 JET786614:JET786615 JOP786614:JOP786615 JYL786614:JYL786615 KIH786614:KIH786615 KSD786614:KSD786615 LBZ786614:LBZ786615 LLV786614:LLV786615 LVR786614:LVR786615 MFN786614:MFN786615 MPJ786614:MPJ786615 MZF786614:MZF786615 NJB786614:NJB786615 NSX786614:NSX786615 OCT786614:OCT786615 OMP786614:OMP786615 OWL786614:OWL786615 PGH786614:PGH786615 PQD786614:PQD786615 PZZ786614:PZZ786615 QJV786614:QJV786615 QTR786614:QTR786615 RDN786614:RDN786615 RNJ786614:RNJ786615 RXF786614:RXF786615 SHB786614:SHB786615 SQX786614:SQX786615 TAT786614:TAT786615 TKP786614:TKP786615 TUL786614:TUL786615 UEH786614:UEH786615 UOD786614:UOD786615 UXZ786614:UXZ786615 VHV786614:VHV786615 VRR786614:VRR786615 WBN786614:WBN786615 WLJ786614:WLJ786615 WVF786614:WVF786615 D852150:D852151 IT852150:IT852151 SP852150:SP852151 ACL852150:ACL852151 AMH852150:AMH852151 AWD852150:AWD852151 BFZ852150:BFZ852151 BPV852150:BPV852151 BZR852150:BZR852151 CJN852150:CJN852151 CTJ852150:CTJ852151 DDF852150:DDF852151 DNB852150:DNB852151 DWX852150:DWX852151 EGT852150:EGT852151 EQP852150:EQP852151 FAL852150:FAL852151 FKH852150:FKH852151 FUD852150:FUD852151 GDZ852150:GDZ852151 GNV852150:GNV852151 GXR852150:GXR852151 HHN852150:HHN852151 HRJ852150:HRJ852151 IBF852150:IBF852151 ILB852150:ILB852151 IUX852150:IUX852151 JET852150:JET852151 JOP852150:JOP852151 JYL852150:JYL852151 KIH852150:KIH852151 KSD852150:KSD852151 LBZ852150:LBZ852151 LLV852150:LLV852151 LVR852150:LVR852151 MFN852150:MFN852151 MPJ852150:MPJ852151 MZF852150:MZF852151 NJB852150:NJB852151 NSX852150:NSX852151 OCT852150:OCT852151 OMP852150:OMP852151 OWL852150:OWL852151 PGH852150:PGH852151 PQD852150:PQD852151 PZZ852150:PZZ852151 QJV852150:QJV852151 QTR852150:QTR852151 RDN852150:RDN852151 RNJ852150:RNJ852151 RXF852150:RXF852151 SHB852150:SHB852151 SQX852150:SQX852151 TAT852150:TAT852151 TKP852150:TKP852151 TUL852150:TUL852151 UEH852150:UEH852151 UOD852150:UOD852151 UXZ852150:UXZ852151 VHV852150:VHV852151 VRR852150:VRR852151 WBN852150:WBN852151 WLJ852150:WLJ852151 WVF852150:WVF852151 D917686:D917687 IT917686:IT917687 SP917686:SP917687 ACL917686:ACL917687 AMH917686:AMH917687 AWD917686:AWD917687 BFZ917686:BFZ917687 BPV917686:BPV917687 BZR917686:BZR917687 CJN917686:CJN917687 CTJ917686:CTJ917687 DDF917686:DDF917687 DNB917686:DNB917687 DWX917686:DWX917687 EGT917686:EGT917687 EQP917686:EQP917687 FAL917686:FAL917687 FKH917686:FKH917687 FUD917686:FUD917687 GDZ917686:GDZ917687 GNV917686:GNV917687 GXR917686:GXR917687 HHN917686:HHN917687 HRJ917686:HRJ917687 IBF917686:IBF917687 ILB917686:ILB917687 IUX917686:IUX917687 JET917686:JET917687 JOP917686:JOP917687 JYL917686:JYL917687 KIH917686:KIH917687 KSD917686:KSD917687 LBZ917686:LBZ917687 LLV917686:LLV917687 LVR917686:LVR917687 MFN917686:MFN917687 MPJ917686:MPJ917687 MZF917686:MZF917687 NJB917686:NJB917687 NSX917686:NSX917687 OCT917686:OCT917687 OMP917686:OMP917687 OWL917686:OWL917687 PGH917686:PGH917687 PQD917686:PQD917687 PZZ917686:PZZ917687 QJV917686:QJV917687 QTR917686:QTR917687 RDN917686:RDN917687 RNJ917686:RNJ917687 RXF917686:RXF917687 SHB917686:SHB917687 SQX917686:SQX917687 TAT917686:TAT917687 TKP917686:TKP917687 TUL917686:TUL917687 UEH917686:UEH917687 UOD917686:UOD917687 UXZ917686:UXZ917687 VHV917686:VHV917687 VRR917686:VRR917687 WBN917686:WBN917687 WLJ917686:WLJ917687 WVF917686:WVF917687 D983222:D983223 IT983222:IT983223 SP983222:SP983223 ACL983222:ACL983223 AMH983222:AMH983223 AWD983222:AWD983223 BFZ983222:BFZ983223 BPV983222:BPV983223 BZR983222:BZR983223 CJN983222:CJN983223 CTJ983222:CTJ983223 DDF983222:DDF983223 DNB983222:DNB983223 DWX983222:DWX983223 EGT983222:EGT983223 EQP983222:EQP983223 FAL983222:FAL983223 FKH983222:FKH983223 FUD983222:FUD983223 GDZ983222:GDZ983223 GNV983222:GNV983223 GXR983222:GXR983223 HHN983222:HHN983223 HRJ983222:HRJ983223 IBF983222:IBF983223 ILB983222:ILB983223 IUX983222:IUX983223 JET983222:JET983223 JOP983222:JOP983223 JYL983222:JYL983223 KIH983222:KIH983223 KSD983222:KSD983223 LBZ983222:LBZ983223 LLV983222:LLV983223 LVR983222:LVR983223 MFN983222:MFN983223 MPJ983222:MPJ983223 MZF983222:MZF983223 NJB983222:NJB983223 NSX983222:NSX983223 OCT983222:OCT983223 OMP983222:OMP983223 OWL983222:OWL983223 PGH983222:PGH983223 PQD983222:PQD983223 PZZ983222:PZZ983223 QJV983222:QJV983223 QTR983222:QTR983223 RDN983222:RDN983223 RNJ983222:RNJ983223 RXF983222:RXF983223 SHB983222:SHB983223 SQX983222:SQX983223 TAT983222:TAT983223 TKP983222:TKP983223 TUL983222:TUL983223 UEH983222:UEH983223 UOD983222:UOD983223 UXZ983222:UXZ983223 VHV983222:VHV983223 VRR983222:VRR983223 WBN983222:WBN983223 WLJ983222:WLJ983223 WVF983222:WVF983223 IT179 IT188 SP188 ACL188 AMH188 AWD188 BFZ188 BPV188 BZR188 CJN188 CTJ188 DDF188 DNB188 DWX188 EGT188 EQP188 FAL188 FKH188 FUD188 GDZ188 GNV188 GXR188 HHN188 HRJ188 IBF188 ILB188 IUX188 JET188 JOP188 JYL188 KIH188 KSD188 LBZ188 LLV188 LVR188 MFN188 MPJ188 MZF188 NJB188 NSX188 OCT188 OMP188 OWL188 PGH188 PQD188 PZZ188 QJV188 QTR188 RDN188 RNJ188 RXF188 SHB188 SQX188 TAT188 TKP188 TUL188 UEH188 UOD188 UXZ188 VHV188 VRR188 WBN188 WLJ188 WVF188 D65726 IT65726 SP65726 ACL65726 AMH65726 AWD65726 BFZ65726 BPV65726 BZR65726 CJN65726 CTJ65726 DDF65726 DNB65726 DWX65726 EGT65726 EQP65726 FAL65726 FKH65726 FUD65726 GDZ65726 GNV65726 GXR65726 HHN65726 HRJ65726 IBF65726 ILB65726 IUX65726 JET65726 JOP65726 JYL65726 KIH65726 KSD65726 LBZ65726 LLV65726 LVR65726 MFN65726 MPJ65726 MZF65726 NJB65726 NSX65726 OCT65726 OMP65726 OWL65726 PGH65726 PQD65726 PZZ65726 QJV65726 QTR65726 RDN65726 RNJ65726 RXF65726 SHB65726 SQX65726 TAT65726 TKP65726 TUL65726 UEH65726 UOD65726 UXZ65726 VHV65726 VRR65726 WBN65726 WLJ65726 WVF65726 D131262 IT131262 SP131262 ACL131262 AMH131262 AWD131262 BFZ131262 BPV131262 BZR131262 CJN131262 CTJ131262 DDF131262 DNB131262 DWX131262 EGT131262 EQP131262 FAL131262 FKH131262 FUD131262 GDZ131262 GNV131262 GXR131262 HHN131262 HRJ131262 IBF131262 ILB131262 IUX131262 JET131262 JOP131262 JYL131262 KIH131262 KSD131262 LBZ131262 LLV131262 LVR131262 MFN131262 MPJ131262 MZF131262 NJB131262 NSX131262 OCT131262 OMP131262 OWL131262 PGH131262 PQD131262 PZZ131262 QJV131262 QTR131262 RDN131262 RNJ131262 RXF131262 SHB131262 SQX131262 TAT131262 TKP131262 TUL131262 UEH131262 UOD131262 UXZ131262 VHV131262 VRR131262 WBN131262 WLJ131262 WVF131262 D196798 IT196798 SP196798 ACL196798 AMH196798 AWD196798 BFZ196798 BPV196798 BZR196798 CJN196798 CTJ196798 DDF196798 DNB196798 DWX196798 EGT196798 EQP196798 FAL196798 FKH196798 FUD196798 GDZ196798 GNV196798 GXR196798 HHN196798 HRJ196798 IBF196798 ILB196798 IUX196798 JET196798 JOP196798 JYL196798 KIH196798 KSD196798 LBZ196798 LLV196798 LVR196798 MFN196798 MPJ196798 MZF196798 NJB196798 NSX196798 OCT196798 OMP196798 OWL196798 PGH196798 PQD196798 PZZ196798 QJV196798 QTR196798 RDN196798 RNJ196798 RXF196798 SHB196798 SQX196798 TAT196798 TKP196798 TUL196798 UEH196798 UOD196798 UXZ196798 VHV196798 VRR196798 WBN196798 WLJ196798 WVF196798 D262334 IT262334 SP262334 ACL262334 AMH262334 AWD262334 BFZ262334 BPV262334 BZR262334 CJN262334 CTJ262334 DDF262334 DNB262334 DWX262334 EGT262334 EQP262334 FAL262334 FKH262334 FUD262334 GDZ262334 GNV262334 GXR262334 HHN262334 HRJ262334 IBF262334 ILB262334 IUX262334 JET262334 JOP262334 JYL262334 KIH262334 KSD262334 LBZ262334 LLV262334 LVR262334 MFN262334 MPJ262334 MZF262334 NJB262334 NSX262334 OCT262334 OMP262334 OWL262334 PGH262334 PQD262334 PZZ262334 QJV262334 QTR262334 RDN262334 RNJ262334 RXF262334 SHB262334 SQX262334 TAT262334 TKP262334 TUL262334 UEH262334 UOD262334 UXZ262334 VHV262334 VRR262334 WBN262334 WLJ262334 WVF262334 D327870 IT327870 SP327870 ACL327870 AMH327870 AWD327870 BFZ327870 BPV327870 BZR327870 CJN327870 CTJ327870 DDF327870 DNB327870 DWX327870 EGT327870 EQP327870 FAL327870 FKH327870 FUD327870 GDZ327870 GNV327870 GXR327870 HHN327870 HRJ327870 IBF327870 ILB327870 IUX327870 JET327870 JOP327870 JYL327870 KIH327870 KSD327870 LBZ327870 LLV327870 LVR327870 MFN327870 MPJ327870 MZF327870 NJB327870 NSX327870 OCT327870 OMP327870 OWL327870 PGH327870 PQD327870 PZZ327870 QJV327870 QTR327870 RDN327870 RNJ327870 RXF327870 SHB327870 SQX327870 TAT327870 TKP327870 TUL327870 UEH327870 UOD327870 UXZ327870 VHV327870 VRR327870 WBN327870 WLJ327870 WVF327870 D393406 IT393406 SP393406 ACL393406 AMH393406 AWD393406 BFZ393406 BPV393406 BZR393406 CJN393406 CTJ393406 DDF393406 DNB393406 DWX393406 EGT393406 EQP393406 FAL393406 FKH393406 FUD393406 GDZ393406 GNV393406 GXR393406 HHN393406 HRJ393406 IBF393406 ILB393406 IUX393406 JET393406 JOP393406 JYL393406 KIH393406 KSD393406 LBZ393406 LLV393406 LVR393406 MFN393406 MPJ393406 MZF393406 NJB393406 NSX393406 OCT393406 OMP393406 OWL393406 PGH393406 PQD393406 PZZ393406 QJV393406 QTR393406 RDN393406 RNJ393406 RXF393406 SHB393406 SQX393406 TAT393406 TKP393406 TUL393406 UEH393406 UOD393406 UXZ393406 VHV393406 VRR393406 WBN393406 WLJ393406 WVF393406 D458942 IT458942 SP458942 ACL458942 AMH458942 AWD458942 BFZ458942 BPV458942 BZR458942 CJN458942 CTJ458942 DDF458942 DNB458942 DWX458942 EGT458942 EQP458942 FAL458942 FKH458942 FUD458942 GDZ458942 GNV458942 GXR458942 HHN458942 HRJ458942 IBF458942 ILB458942 IUX458942 JET458942 JOP458942 JYL458942 KIH458942 KSD458942 LBZ458942 LLV458942 LVR458942 MFN458942 MPJ458942 MZF458942 NJB458942 NSX458942 OCT458942 OMP458942 OWL458942 PGH458942 PQD458942 PZZ458942 QJV458942 QTR458942 RDN458942 RNJ458942 RXF458942 SHB458942 SQX458942 TAT458942 TKP458942 TUL458942 UEH458942 UOD458942 UXZ458942 VHV458942 VRR458942 WBN458942 WLJ458942 WVF458942 D524478 IT524478 SP524478 ACL524478 AMH524478 AWD524478 BFZ524478 BPV524478 BZR524478 CJN524478 CTJ524478 DDF524478 DNB524478 DWX524478 EGT524478 EQP524478 FAL524478 FKH524478 FUD524478 GDZ524478 GNV524478 GXR524478 HHN524478 HRJ524478 IBF524478 ILB524478 IUX524478 JET524478 JOP524478 JYL524478 KIH524478 KSD524478 LBZ524478 LLV524478 LVR524478 MFN524478 MPJ524478 MZF524478 NJB524478 NSX524478 OCT524478 OMP524478 OWL524478 PGH524478 PQD524478 PZZ524478 QJV524478 QTR524478 RDN524478 RNJ524478 RXF524478 SHB524478 SQX524478 TAT524478 TKP524478 TUL524478 UEH524478 UOD524478 UXZ524478 VHV524478 VRR524478 WBN524478 WLJ524478 WVF524478 D590014 IT590014 SP590014 ACL590014 AMH590014 AWD590014 BFZ590014 BPV590014 BZR590014 CJN590014 CTJ590014 DDF590014 DNB590014 DWX590014 EGT590014 EQP590014 FAL590014 FKH590014 FUD590014 GDZ590014 GNV590014 GXR590014 HHN590014 HRJ590014 IBF590014 ILB590014 IUX590014 JET590014 JOP590014 JYL590014 KIH590014 KSD590014 LBZ590014 LLV590014 LVR590014 MFN590014 MPJ590014 MZF590014 NJB590014 NSX590014 OCT590014 OMP590014 OWL590014 PGH590014 PQD590014 PZZ590014 QJV590014 QTR590014 RDN590014 RNJ590014 RXF590014 SHB590014 SQX590014 TAT590014 TKP590014 TUL590014 UEH590014 UOD590014 UXZ590014 VHV590014 VRR590014 WBN590014 WLJ590014 WVF590014 D655550 IT655550 SP655550 ACL655550 AMH655550 AWD655550 BFZ655550 BPV655550 BZR655550 CJN655550 CTJ655550 DDF655550 DNB655550 DWX655550 EGT655550 EQP655550 FAL655550 FKH655550 FUD655550 GDZ655550 GNV655550 GXR655550 HHN655550 HRJ655550 IBF655550 ILB655550 IUX655550 JET655550 JOP655550 JYL655550 KIH655550 KSD655550 LBZ655550 LLV655550 LVR655550 MFN655550 MPJ655550 MZF655550 NJB655550 NSX655550 OCT655550 OMP655550 OWL655550 PGH655550 PQD655550 PZZ655550 QJV655550 QTR655550 RDN655550 RNJ655550 RXF655550 SHB655550 SQX655550 TAT655550 TKP655550 TUL655550 UEH655550 UOD655550 UXZ655550 VHV655550 VRR655550 WBN655550 WLJ655550 WVF655550 D721086 IT721086 SP721086 ACL721086 AMH721086 AWD721086 BFZ721086 BPV721086 BZR721086 CJN721086 CTJ721086 DDF721086 DNB721086 DWX721086 EGT721086 EQP721086 FAL721086 FKH721086 FUD721086 GDZ721086 GNV721086 GXR721086 HHN721086 HRJ721086 IBF721086 ILB721086 IUX721086 JET721086 JOP721086 JYL721086 KIH721086 KSD721086 LBZ721086 LLV721086 LVR721086 MFN721086 MPJ721086 MZF721086 NJB721086 NSX721086 OCT721086 OMP721086 OWL721086 PGH721086 PQD721086 PZZ721086 QJV721086 QTR721086 RDN721086 RNJ721086 RXF721086 SHB721086 SQX721086 TAT721086 TKP721086 TUL721086 UEH721086 UOD721086 UXZ721086 VHV721086 VRR721086 WBN721086 WLJ721086 WVF721086 D786622 IT786622 SP786622 ACL786622 AMH786622 AWD786622 BFZ786622 BPV786622 BZR786622 CJN786622 CTJ786622 DDF786622 DNB786622 DWX786622 EGT786622 EQP786622 FAL786622 FKH786622 FUD786622 GDZ786622 GNV786622 GXR786622 HHN786622 HRJ786622 IBF786622 ILB786622 IUX786622 JET786622 JOP786622 JYL786622 KIH786622 KSD786622 LBZ786622 LLV786622 LVR786622 MFN786622 MPJ786622 MZF786622 NJB786622 NSX786622 OCT786622 OMP786622 OWL786622 PGH786622 PQD786622 PZZ786622 QJV786622 QTR786622 RDN786622 RNJ786622 RXF786622 SHB786622 SQX786622 TAT786622 TKP786622 TUL786622 UEH786622 UOD786622 UXZ786622 VHV786622 VRR786622 WBN786622 WLJ786622 WVF786622 D852158 IT852158 SP852158 ACL852158 AMH852158 AWD852158 BFZ852158 BPV852158 BZR852158 CJN852158 CTJ852158 DDF852158 DNB852158 DWX852158 EGT852158 EQP852158 FAL852158 FKH852158 FUD852158 GDZ852158 GNV852158 GXR852158 HHN852158 HRJ852158 IBF852158 ILB852158 IUX852158 JET852158 JOP852158 JYL852158 KIH852158 KSD852158 LBZ852158 LLV852158 LVR852158 MFN852158 MPJ852158 MZF852158 NJB852158 NSX852158 OCT852158 OMP852158 OWL852158 PGH852158 PQD852158 PZZ852158 QJV852158 QTR852158 RDN852158 RNJ852158 RXF852158 SHB852158 SQX852158 TAT852158 TKP852158 TUL852158 UEH852158 UOD852158 UXZ852158 VHV852158 VRR852158 WBN852158 WLJ852158 WVF852158 D917694 IT917694 SP917694 ACL917694 AMH917694 AWD917694 BFZ917694 BPV917694 BZR917694 CJN917694 CTJ917694 DDF917694 DNB917694 DWX917694 EGT917694 EQP917694 FAL917694 FKH917694 FUD917694 GDZ917694 GNV917694 GXR917694 HHN917694 HRJ917694 IBF917694 ILB917694 IUX917694 JET917694 JOP917694 JYL917694 KIH917694 KSD917694 LBZ917694 LLV917694 LVR917694 MFN917694 MPJ917694 MZF917694 NJB917694 NSX917694 OCT917694 OMP917694 OWL917694 PGH917694 PQD917694 PZZ917694 QJV917694 QTR917694 RDN917694 RNJ917694 RXF917694 SHB917694 SQX917694 TAT917694 TKP917694 TUL917694 UEH917694 UOD917694 UXZ917694 VHV917694 VRR917694 WBN917694 WLJ917694 WVF917694 D983230 IT983230 SP983230 ACL983230 AMH983230 AWD983230 BFZ983230 BPV983230 BZR983230 CJN983230 CTJ983230 DDF983230 DNB983230 DWX983230 EGT983230 EQP983230 FAL983230 FKH983230 FUD983230 GDZ983230 GNV983230 GXR983230 HHN983230 HRJ983230 IBF983230 ILB983230 IUX983230 JET983230 JOP983230 JYL983230 KIH983230 KSD983230 LBZ983230 LLV983230 LVR983230 MFN983230 MPJ983230 MZF983230 NJB983230 NSX983230 OCT983230 OMP983230 OWL983230 PGH983230 PQD983230 PZZ983230 QJV983230 QTR983230 RDN983230 RNJ983230 RXF983230 SHB983230 SQX983230 TAT983230 TKP983230 TUL983230 UEH983230 UOD983230 UXZ983230 VHV983230 VRR983230 WBN983230 WLJ983230 WVF983230 D65718:D65719 UOD983104 TUL983104 TKP983104 TAT983104 SQX983104 SHB983104 RXF983104 RNJ983104 RDN983104 QTR983104 QJV983104 PZZ983104 PQD983104 PGH983104 OWL983104 OMP983104 OCT983104 NSX983104 NJB983104 MZF983104 MPJ983104 MFN983104 LVR983104 LLV983104 LBZ983104 KSD983104 KIH983104 JYL983104 JOP983104 JET983104 IUX983104 ILB983104 IBF983104 HRJ983104 HHN983104 GXR983104 GNV983104 GDZ983104 FUD983104 FKH983104 FAL983104 EQP983104 EGT983104 DWX983104 DNB983104 DDF983104 CTJ983104 CJN983104 BZR983104 BPV983104 BFZ983104 AWD983104 AMH983104 ACL983104 SP983104 IT983104 D983104 WVF917568 WLJ917568 WBN917568 VRR917568 VHV917568 UXZ917568 UOD917568 UEH917568 TUL917568 TKP917568 TAT917568 SQX917568 SHB917568 RXF917568 RNJ917568 RDN917568 QTR917568 QJV917568 PZZ917568 PQD917568 PGH917568 OWL917568 OMP917568 OCT917568 NSX917568 NJB917568 MZF917568 MPJ917568 MFN917568 LVR917568 LLV917568 LBZ917568 KSD917568 KIH917568 JYL917568 JOP917568 JET917568 IUX917568 ILB917568 IBF917568 HRJ917568 HHN917568 GXR917568 GNV917568 GDZ917568 FUD917568 FKH917568 FAL917568 EQP917568 EGT917568 DWX917568 DNB917568 DDF917568 CTJ917568 CJN917568 BZR917568 BPV917568 BFZ917568 AWD917568 AMH917568 ACL917568 SP917568 IT917568 D917568 WVF852032 WLJ852032 WBN852032 VRR852032 VHV852032 UXZ852032 UOD852032 UEH852032 TUL852032 TKP852032 TAT852032 SQX852032 SHB852032 RXF852032 RNJ852032 RDN852032 QTR852032 QJV852032 PZZ852032 PQD852032 PGH852032 OWL852032 OMP852032 OCT852032 NSX852032 NJB852032 MZF852032 MPJ852032 MFN852032 LVR852032 LLV852032 LBZ852032 KSD852032 KIH852032 JYL852032 JOP852032 JET852032 IUX852032 ILB852032 IBF852032 HRJ852032 HHN852032 GXR852032 GNV852032 GDZ852032 FUD852032 FKH852032 FAL852032 EQP852032 EGT852032 DWX852032 DNB852032 DDF852032 CTJ852032 CJN852032 BZR852032 BPV852032 BFZ852032 AWD852032 AMH852032 ACL852032 SP852032 IT852032 D852032 WVF786496 WLJ786496 WBN786496 VRR786496 VHV786496 UXZ786496 UOD786496 UEH786496 TUL786496 TKP786496 TAT786496 SQX786496 SHB786496 RXF786496 RNJ786496 RDN786496 QTR786496 QJV786496 PZZ786496 PQD786496 PGH786496 OWL786496 OMP786496 OCT786496 NSX786496 NJB786496 MZF786496 MPJ786496 MFN786496 LVR786496 LLV786496 LBZ786496 KSD786496 KIH786496 JYL786496 JOP786496 JET786496 IUX786496 ILB786496 IBF786496 HRJ786496 HHN786496 GXR786496 GNV786496 GDZ786496 FUD786496 FKH786496 FAL786496 EQP786496 EGT786496 DWX786496 DNB786496 DDF786496 CTJ786496 CJN786496 BZR786496 BPV786496 BFZ786496 AWD786496 AMH786496 ACL786496 SP786496 IT786496 D786496 WVF720960 WLJ720960 WBN720960 VRR720960 VHV720960 UXZ720960 UOD720960 UEH720960 TUL720960 TKP720960 TAT720960 SQX720960 SHB720960 RXF720960 RNJ720960 RDN720960 QTR720960 QJV720960 PZZ720960 PQD720960 PGH720960 OWL720960 OMP720960 OCT720960 NSX720960 NJB720960 MZF720960 MPJ720960 MFN720960 LVR720960 LLV720960 LBZ720960 KSD720960 KIH720960 JYL720960 JOP720960 JET720960 IUX720960 ILB720960 IBF720960 HRJ720960 HHN720960 GXR720960 GNV720960 GDZ720960 FUD720960 FKH720960 FAL720960 EQP720960 EGT720960 DWX720960 DNB720960 DDF720960 CTJ720960 CJN720960 BZR720960 BPV720960 BFZ720960 AWD720960 AMH720960 ACL720960 SP720960 IT720960 D720960 WVF655424 WLJ655424 WBN655424 VRR655424 VHV655424 UXZ655424 UOD655424 UEH655424 TUL655424 TKP655424 TAT655424 SQX655424 SHB655424 RXF655424 RNJ655424 RDN655424 QTR655424 QJV655424 PZZ655424 PQD655424 PGH655424 OWL655424 OMP655424 OCT655424 NSX655424 NJB655424 MZF655424 MPJ655424 MFN655424 LVR655424 LLV655424 LBZ655424 KSD655424 KIH655424 JYL655424 JOP655424 JET655424 IUX655424 ILB655424 IBF655424 HRJ655424 HHN655424 GXR655424 GNV655424 GDZ655424 FUD655424 FKH655424 FAL655424 EQP655424 EGT655424 DWX655424 DNB655424 DDF655424 CTJ655424 CJN655424 BZR655424 BPV655424 BFZ655424 AWD655424 AMH655424 ACL655424 SP655424 IT655424 D655424 WVF589888 WLJ589888 WBN589888 VRR589888 VHV589888 UXZ589888 UOD589888 UEH589888 TUL589888 TKP589888 TAT589888 SQX589888 SHB589888 RXF589888 RNJ589888 RDN589888 QTR589888 QJV589888 PZZ589888 PQD589888 PGH589888 OWL589888 OMP589888 OCT589888 NSX589888 NJB589888 MZF589888 MPJ589888 MFN589888 LVR589888 LLV589888 LBZ589888 KSD589888 KIH589888 JYL589888 JOP589888 JET589888 IUX589888 ILB589888 IBF589888 HRJ589888 HHN589888 GXR589888 GNV589888 GDZ589888 FUD589888 FKH589888 FAL589888 EQP589888 EGT589888 DWX589888 DNB589888 DDF589888 CTJ589888 CJN589888 BZR589888 BPV589888 BFZ589888 AWD589888 AMH589888 ACL589888 SP589888 IT589888 D589888 WVF524352 WLJ524352 WBN524352 VRR524352 VHV524352 UXZ524352 UOD524352 UEH524352 TUL524352 TKP524352 TAT524352 SQX524352 SHB524352 RXF524352 RNJ524352 RDN524352 QTR524352 QJV524352 PZZ524352 PQD524352 PGH524352 OWL524352 OMP524352 OCT524352 NSX524352 NJB524352 MZF524352 MPJ524352 MFN524352 LVR524352 LLV524352 LBZ524352 KSD524352 KIH524352 JYL524352 JOP524352 JET524352 IUX524352 ILB524352 IBF524352 HRJ524352 HHN524352 GXR524352 GNV524352 GDZ524352 FUD524352 FKH524352 FAL524352 EQP524352 EGT524352 DWX524352 DNB524352 DDF524352 CTJ524352 CJN524352 BZR524352 BPV524352 BFZ524352 AWD524352 AMH524352 ACL524352 SP524352 IT524352 D524352 WVF458816 WLJ458816 WBN458816 VRR458816 VHV458816 UXZ458816 UOD458816 UEH458816 TUL458816 TKP458816 TAT458816 SQX458816 SHB458816 RXF458816 RNJ458816 RDN458816 QTR458816 QJV458816 PZZ458816 PQD458816 PGH458816 OWL458816 OMP458816 OCT458816 NSX458816 NJB458816 MZF458816 MPJ458816 MFN458816 LVR458816 LLV458816 LBZ458816 KSD458816 KIH458816 JYL458816 JOP458816 JET458816 IUX458816 ILB458816 IBF458816 HRJ458816 HHN458816 GXR458816 GNV458816 GDZ458816 FUD458816 FKH458816 FAL458816 EQP458816 EGT458816 DWX458816 DNB458816 DDF458816 CTJ458816 CJN458816 BZR458816 BPV458816 BFZ458816 AWD458816 AMH458816 ACL458816 SP458816 IT458816 D458816 WVF393280 WLJ393280 WBN393280 VRR393280 VHV393280 UXZ393280 UOD393280 UEH393280 TUL393280 TKP393280 TAT393280 SQX393280 SHB393280 RXF393280 RNJ393280 RDN393280 QTR393280 QJV393280 PZZ393280 PQD393280 PGH393280 OWL393280 OMP393280 OCT393280 NSX393280 NJB393280 MZF393280 MPJ393280 MFN393280 LVR393280 LLV393280 LBZ393280 KSD393280 KIH393280 JYL393280 JOP393280 JET393280 IUX393280 ILB393280 IBF393280 HRJ393280 HHN393280 GXR393280 GNV393280 GDZ393280 FUD393280 FKH393280 FAL393280 EQP393280 EGT393280 DWX393280 DNB393280 DDF393280 CTJ393280 CJN393280 BZR393280 BPV393280 BFZ393280 AWD393280 AMH393280 ACL393280 SP393280 IT393280 D393280 WVF327744 WLJ327744 WBN327744 VRR327744 VHV327744 UXZ327744 UOD327744 UEH327744 TUL327744 TKP327744 TAT327744 SQX327744 SHB327744 RXF327744 RNJ327744 RDN327744 QTR327744 QJV327744 PZZ327744 PQD327744 PGH327744 OWL327744 OMP327744 OCT327744 NSX327744 NJB327744 MZF327744 MPJ327744 MFN327744 LVR327744 LLV327744 LBZ327744 KSD327744 KIH327744 JYL327744 JOP327744 JET327744 IUX327744 ILB327744 IBF327744 HRJ327744 HHN327744 GXR327744 GNV327744 GDZ327744 FUD327744 FKH327744 FAL327744 EQP327744 EGT327744 DWX327744 DNB327744 DDF327744 CTJ327744 CJN327744 BZR327744 BPV327744 BFZ327744 AWD327744 AMH327744 ACL327744 SP327744 IT327744 D327744 WVF262208 WLJ262208 WBN262208 VRR262208 VHV262208 UXZ262208 UOD262208 UEH262208 TUL262208 TKP262208 TAT262208 SQX262208 SHB262208 RXF262208 RNJ262208 RDN262208 QTR262208 QJV262208 PZZ262208 PQD262208 PGH262208 OWL262208 OMP262208 OCT262208 NSX262208 NJB262208 MZF262208 MPJ262208 MFN262208 LVR262208 LLV262208 LBZ262208 KSD262208 KIH262208 JYL262208 JOP262208 JET262208 IUX262208 ILB262208 IBF262208 HRJ262208 HHN262208 GXR262208 GNV262208 GDZ262208 FUD262208 FKH262208 FAL262208 EQP262208 EGT262208 DWX262208 DNB262208 DDF262208 CTJ262208 CJN262208 BZR262208 BPV262208 BFZ262208 AWD262208 AMH262208 ACL262208 SP262208 IT262208 D262208 WVF196672 WLJ196672 WBN196672 VRR196672 VHV196672 UXZ196672 UOD196672 UEH196672 TUL196672 TKP196672 TAT196672 SQX196672 SHB196672 RXF196672 RNJ196672 RDN196672 QTR196672 QJV196672 PZZ196672 PQD196672 PGH196672 OWL196672 OMP196672 OCT196672 NSX196672 NJB196672 MZF196672 MPJ196672 MFN196672 LVR196672 LLV196672 LBZ196672 KSD196672 KIH196672 JYL196672 JOP196672 JET196672 IUX196672 ILB196672 IBF196672 HRJ196672 HHN196672 GXR196672 GNV196672 GDZ196672 FUD196672 FKH196672 FAL196672 EQP196672 EGT196672 DWX196672 DNB196672 DDF196672 CTJ196672 CJN196672 BZR196672 BPV196672 BFZ196672 AWD196672 AMH196672 ACL196672 SP196672 IT196672 D196672 WVF131136 WLJ131136 WBN131136 VRR131136 VHV131136 UXZ131136 UOD131136 UEH131136 TUL131136 TKP131136 TAT131136 SQX131136 SHB131136 RXF131136 RNJ131136 RDN131136 QTR131136 QJV131136 PZZ131136 PQD131136 PGH131136 OWL131136 OMP131136 OCT131136 NSX131136 NJB131136 MZF131136 MPJ131136 MFN131136 LVR131136 LLV131136 LBZ131136 KSD131136 KIH131136 JYL131136 JOP131136 JET131136 IUX131136 ILB131136 IBF131136 HRJ131136 HHN131136 GXR131136 GNV131136 GDZ131136 FUD131136 FKH131136 FAL131136 EQP131136 EGT131136 DWX131136 DNB131136 DDF131136 CTJ131136 CJN131136 BZR131136 BPV131136 BFZ131136 AWD131136 AMH131136 ACL131136 SP131136 IT131136 D131136 WVF65600 WLJ65600 WBN65600 VRR65600 VHV65600 UXZ65600 UOD65600 UEH65600 TUL65600 TKP65600 TAT65600 SQX65600 SHB65600 RXF65600 RNJ65600 RDN65600 QTR65600 QJV65600 PZZ65600 PQD65600 PGH65600 OWL65600 OMP65600 OCT65600 NSX65600 NJB65600 MZF65600 MPJ65600 MFN65600 LVR65600 LLV65600 LBZ65600 KSD65600 KIH65600 JYL65600 JOP65600 JET65600 IUX65600 ILB65600 IBF65600 HRJ65600 HHN65600 GXR65600 GNV65600 GDZ65600 FUD65600 FKH65600 FAL65600 EQP65600 EGT65600 DWX65600 DNB65600 DDF65600 CTJ65600 CJN65600 BZR65600 BPV65600 BFZ65600 AWD65600 AMH65600 ACL65600 SP65600 IT65600 D65600 WVF59 WLJ59 WBN59 VRR59 VHV59 UXZ59 UOD59 UEH59 TUL59 TKP59 TAT59 SQX59 SHB59 RXF59 RNJ59 RDN59 QTR59 QJV59 PZZ59 PQD59 PGH59 OWL59 OMP59 OCT59 NSX59 NJB59 MZF59 MPJ59 MFN59 LVR59 LLV59 LBZ59 KSD59 KIH59 JYL59 JOP59 JET59 IUX59 ILB59 IBF59 HRJ59 HHN59 GXR59 GNV59 GDZ59 FUD59 FKH59 FAL59 EQP59 EGT59 DWX59 DNB59 DDF59 CTJ59 CJN59 BZR59 BPV59 BFZ59 AWD59 AMH59 ACL59 SP59 IT59 UXZ983104 WVF983096 WLJ983096 WBN983096 VRR983096 VHV983096 UXZ983096 UOD983096 UEH983096 TUL983096 TKP983096 TAT983096 SQX983096 SHB983096 RXF983096 RNJ983096 RDN983096 QTR983096 QJV983096 PZZ983096 PQD983096 PGH983096 OWL983096 OMP983096 OCT983096 NSX983096 NJB983096 MZF983096 MPJ983096 MFN983096 LVR983096 LLV983096 LBZ983096 KSD983096 KIH983096 JYL983096 JOP983096 JET983096 IUX983096 ILB983096 IBF983096 HRJ983096 HHN983096 GXR983096 GNV983096 GDZ983096 FUD983096 FKH983096 FAL983096 EQP983096 EGT983096 DWX983096 DNB983096 DDF983096 CTJ983096 CJN983096 BZR983096 BPV983096 BFZ983096 AWD983096 AMH983096 ACL983096 SP983096 IT983096 D983096 WVF917560 WLJ917560 WBN917560 VRR917560 VHV917560 UXZ917560 UOD917560 UEH917560 TUL917560 TKP917560 TAT917560 SQX917560 SHB917560 RXF917560 RNJ917560 RDN917560 QTR917560 QJV917560 PZZ917560 PQD917560 PGH917560 OWL917560 OMP917560 OCT917560 NSX917560 NJB917560 MZF917560 MPJ917560 MFN917560 LVR917560 LLV917560 LBZ917560 KSD917560 KIH917560 JYL917560 JOP917560 JET917560 IUX917560 ILB917560 IBF917560 HRJ917560 HHN917560 GXR917560 GNV917560 GDZ917560 FUD917560 FKH917560 FAL917560 EQP917560 EGT917560 DWX917560 DNB917560 DDF917560 CTJ917560 CJN917560 BZR917560 BPV917560 BFZ917560 AWD917560 AMH917560 ACL917560 SP917560 IT917560 D917560 WVF852024 WLJ852024 WBN852024 VRR852024 VHV852024 UXZ852024 UOD852024 UEH852024 TUL852024 TKP852024 TAT852024 SQX852024 SHB852024 RXF852024 RNJ852024 RDN852024 QTR852024 QJV852024 PZZ852024 PQD852024 PGH852024 OWL852024 OMP852024 OCT852024 NSX852024 NJB852024 MZF852024 MPJ852024 MFN852024 LVR852024 LLV852024 LBZ852024 KSD852024 KIH852024 JYL852024 JOP852024 JET852024 IUX852024 ILB852024 IBF852024 HRJ852024 HHN852024 GXR852024 GNV852024 GDZ852024 FUD852024 FKH852024 FAL852024 EQP852024 EGT852024 DWX852024 DNB852024 DDF852024 CTJ852024 CJN852024 BZR852024 BPV852024 BFZ852024 AWD852024 AMH852024 ACL852024 SP852024 IT852024 D852024 WVF786488 WLJ786488 WBN786488 VRR786488 VHV786488 UXZ786488 UOD786488 UEH786488 TUL786488 TKP786488 TAT786488 SQX786488 SHB786488 RXF786488 RNJ786488 RDN786488 QTR786488 QJV786488 PZZ786488 PQD786488 PGH786488 OWL786488 OMP786488 OCT786488 NSX786488 NJB786488 MZF786488 MPJ786488 MFN786488 LVR786488 LLV786488 LBZ786488 KSD786488 KIH786488 JYL786488 JOP786488 JET786488 IUX786488 ILB786488 IBF786488 HRJ786488 HHN786488 GXR786488 GNV786488 GDZ786488 FUD786488 FKH786488 FAL786488 EQP786488 EGT786488 DWX786488 DNB786488 DDF786488 CTJ786488 CJN786488 BZR786488 BPV786488 BFZ786488 AWD786488 AMH786488 ACL786488 SP786488 IT786488 D786488 WVF720952 WLJ720952 WBN720952 VRR720952 VHV720952 UXZ720952 UOD720952 UEH720952 TUL720952 TKP720952 TAT720952 SQX720952 SHB720952 RXF720952 RNJ720952 RDN720952 QTR720952 QJV720952 PZZ720952 PQD720952 PGH720952 OWL720952 OMP720952 OCT720952 NSX720952 NJB720952 MZF720952 MPJ720952 MFN720952 LVR720952 LLV720952 LBZ720952 KSD720952 KIH720952 JYL720952 JOP720952 JET720952 IUX720952 ILB720952 IBF720952 HRJ720952 HHN720952 GXR720952 GNV720952 GDZ720952 FUD720952 FKH720952 FAL720952 EQP720952 EGT720952 DWX720952 DNB720952 DDF720952 CTJ720952 CJN720952 BZR720952 BPV720952 BFZ720952 AWD720952 AMH720952 ACL720952 SP720952 IT720952 D720952 WVF655416 WLJ655416 WBN655416 VRR655416 VHV655416 UXZ655416 UOD655416 UEH655416 TUL655416 TKP655416 TAT655416 SQX655416 SHB655416 RXF655416 RNJ655416 RDN655416 QTR655416 QJV655416 PZZ655416 PQD655416 PGH655416 OWL655416 OMP655416 OCT655416 NSX655416 NJB655416 MZF655416 MPJ655416 MFN655416 LVR655416 LLV655416 LBZ655416 KSD655416 KIH655416 JYL655416 JOP655416 JET655416 IUX655416 ILB655416 IBF655416 HRJ655416 HHN655416 GXR655416 GNV655416 GDZ655416 FUD655416 FKH655416 FAL655416 EQP655416 EGT655416 DWX655416 DNB655416 DDF655416 CTJ655416 CJN655416 BZR655416 BPV655416 BFZ655416 AWD655416 AMH655416 ACL655416 SP655416 IT655416 D655416 WVF589880 WLJ589880 WBN589880 VRR589880 VHV589880 UXZ589880 UOD589880 UEH589880 TUL589880 TKP589880 TAT589880 SQX589880 SHB589880 RXF589880 RNJ589880 RDN589880 QTR589880 QJV589880 PZZ589880 PQD589880 PGH589880 OWL589880 OMP589880 OCT589880 NSX589880 NJB589880 MZF589880 MPJ589880 MFN589880 LVR589880 LLV589880 LBZ589880 KSD589880 KIH589880 JYL589880 JOP589880 JET589880 IUX589880 ILB589880 IBF589880 HRJ589880 HHN589880 GXR589880 GNV589880 GDZ589880 FUD589880 FKH589880 FAL589880 EQP589880 EGT589880 DWX589880 DNB589880 DDF589880 CTJ589880 CJN589880 BZR589880 BPV589880 BFZ589880 AWD589880 AMH589880 ACL589880 SP589880 IT589880 D589880 WVF524344 WLJ524344 WBN524344 VRR524344 VHV524344 UXZ524344 UOD524344 UEH524344 TUL524344 TKP524344 TAT524344 SQX524344 SHB524344 RXF524344 RNJ524344 RDN524344 QTR524344 QJV524344 PZZ524344 PQD524344 PGH524344 OWL524344 OMP524344 OCT524344 NSX524344 NJB524344 MZF524344 MPJ524344 MFN524344 LVR524344 LLV524344 LBZ524344 KSD524344 KIH524344 JYL524344 JOP524344 JET524344 IUX524344 ILB524344 IBF524344 HRJ524344 HHN524344 GXR524344 GNV524344 GDZ524344 FUD524344 FKH524344 FAL524344 EQP524344 EGT524344 DWX524344 DNB524344 DDF524344 CTJ524344 CJN524344 BZR524344 BPV524344 BFZ524344 AWD524344 AMH524344 ACL524344 SP524344 IT524344 D524344 WVF458808 WLJ458808 WBN458808 VRR458808 VHV458808 UXZ458808 UOD458808 UEH458808 TUL458808 TKP458808 TAT458808 SQX458808 SHB458808 RXF458808 RNJ458808 RDN458808 QTR458808 QJV458808 PZZ458808 PQD458808 PGH458808 OWL458808 OMP458808 OCT458808 NSX458808 NJB458808 MZF458808 MPJ458808 MFN458808 LVR458808 LLV458808 LBZ458808 KSD458808 KIH458808 JYL458808 JOP458808 JET458808 IUX458808 ILB458808 IBF458808 HRJ458808 HHN458808 GXR458808 GNV458808 GDZ458808 FUD458808 FKH458808 FAL458808 EQP458808 EGT458808 DWX458808 DNB458808 DDF458808 CTJ458808 CJN458808 BZR458808 BPV458808 BFZ458808 AWD458808 AMH458808 ACL458808 SP458808 IT458808 D458808 WVF393272 WLJ393272 WBN393272 VRR393272 VHV393272 UXZ393272 UOD393272 UEH393272 TUL393272 TKP393272 TAT393272 SQX393272 SHB393272 RXF393272 RNJ393272 RDN393272 QTR393272 QJV393272 PZZ393272 PQD393272 PGH393272 OWL393272 OMP393272 OCT393272 NSX393272 NJB393272 MZF393272 MPJ393272 MFN393272 LVR393272 LLV393272 LBZ393272 KSD393272 KIH393272 JYL393272 JOP393272 JET393272 IUX393272 ILB393272 IBF393272 HRJ393272 HHN393272 GXR393272 GNV393272 GDZ393272 FUD393272 FKH393272 FAL393272 EQP393272 EGT393272 DWX393272 DNB393272 DDF393272 CTJ393272 CJN393272 BZR393272 BPV393272 BFZ393272 AWD393272 AMH393272 ACL393272 SP393272 IT393272 D393272 WVF327736 WLJ327736 WBN327736 VRR327736 VHV327736 UXZ327736 UOD327736 UEH327736 TUL327736 TKP327736 TAT327736 SQX327736 SHB327736 RXF327736 RNJ327736 RDN327736 QTR327736 QJV327736 PZZ327736 PQD327736 PGH327736 OWL327736 OMP327736 OCT327736 NSX327736 NJB327736 MZF327736 MPJ327736 MFN327736 LVR327736 LLV327736 LBZ327736 KSD327736 KIH327736 JYL327736 JOP327736 JET327736 IUX327736 ILB327736 IBF327736 HRJ327736 HHN327736 GXR327736 GNV327736 GDZ327736 FUD327736 FKH327736 FAL327736 EQP327736 EGT327736 DWX327736 DNB327736 DDF327736 CTJ327736 CJN327736 BZR327736 BPV327736 BFZ327736 AWD327736 AMH327736 ACL327736 SP327736 IT327736 D327736 WVF262200 WLJ262200 WBN262200 VRR262200 VHV262200 UXZ262200 UOD262200 UEH262200 TUL262200 TKP262200 TAT262200 SQX262200 SHB262200 RXF262200 RNJ262200 RDN262200 QTR262200 QJV262200 PZZ262200 PQD262200 PGH262200 OWL262200 OMP262200 OCT262200 NSX262200 NJB262200 MZF262200 MPJ262200 MFN262200 LVR262200 LLV262200 LBZ262200 KSD262200 KIH262200 JYL262200 JOP262200 JET262200 IUX262200 ILB262200 IBF262200 HRJ262200 HHN262200 GXR262200 GNV262200 GDZ262200 FUD262200 FKH262200 FAL262200 EQP262200 EGT262200 DWX262200 DNB262200 DDF262200 CTJ262200 CJN262200 BZR262200 BPV262200 BFZ262200 AWD262200 AMH262200 ACL262200 SP262200 IT262200 D262200 WVF196664 WLJ196664 WBN196664 VRR196664 VHV196664 UXZ196664 UOD196664 UEH196664 TUL196664 TKP196664 TAT196664 SQX196664 SHB196664 RXF196664 RNJ196664 RDN196664 QTR196664 QJV196664 PZZ196664 PQD196664 PGH196664 OWL196664 OMP196664 OCT196664 NSX196664 NJB196664 MZF196664 MPJ196664 MFN196664 LVR196664 LLV196664 LBZ196664 KSD196664 KIH196664 JYL196664 JOP196664 JET196664 IUX196664 ILB196664 IBF196664 HRJ196664 HHN196664 GXR196664 GNV196664 GDZ196664 FUD196664 FKH196664 FAL196664 EQP196664 EGT196664 DWX196664 DNB196664 DDF196664 CTJ196664 CJN196664 BZR196664 BPV196664 BFZ196664 AWD196664 AMH196664 ACL196664 SP196664 IT196664 D196664 WVF131128 WLJ131128 WBN131128 VRR131128 VHV131128 UXZ131128 UOD131128 UEH131128 TUL131128 TKP131128 TAT131128 SQX131128 SHB131128 RXF131128 RNJ131128 RDN131128 QTR131128 QJV131128 PZZ131128 PQD131128 PGH131128 OWL131128 OMP131128 OCT131128 NSX131128 NJB131128 MZF131128 MPJ131128 MFN131128 LVR131128 LLV131128 LBZ131128 KSD131128 KIH131128 JYL131128 JOP131128 JET131128 IUX131128 ILB131128 IBF131128 HRJ131128 HHN131128 GXR131128 GNV131128 GDZ131128 FUD131128 FKH131128 FAL131128 EQP131128 EGT131128 DWX131128 DNB131128 DDF131128 CTJ131128 CJN131128 BZR131128 BPV131128 BFZ131128 AWD131128 AMH131128 ACL131128 SP131128 IT131128 D131128 WVF65592 WLJ65592 WBN65592 VRR65592 VHV65592 UXZ65592 UOD65592 UEH65592 TUL65592 TKP65592 TAT65592 SQX65592 SHB65592 RXF65592 RNJ65592 RDN65592 QTR65592 QJV65592 PZZ65592 PQD65592 PGH65592 OWL65592 OMP65592 OCT65592 NSX65592 NJB65592 MZF65592 MPJ65592 MFN65592 LVR65592 LLV65592 LBZ65592 KSD65592 KIH65592 JYL65592 JOP65592 JET65592 IUX65592 ILB65592 IBF65592 HRJ65592 HHN65592 GXR65592 GNV65592 GDZ65592 FUD65592 FKH65592 FAL65592 EQP65592 EGT65592 DWX65592 DNB65592 DDF65592 CTJ65592 CJN65592 BZR65592 BPV65592 BFZ65592 AWD65592 AMH65592 ACL65592 SP65592 IT65592 D65592 WVF51 WLJ51 WBN51 VRR51 VHV51 UXZ51 UOD51 UEH51 TUL51 TKP51 TAT51 SQX51 SHB51 RXF51 RNJ51 RDN51 QTR51 QJV51 PZZ51 PQD51 PGH51 OWL51 OMP51 OCT51 NSX51 NJB51 MZF51 MPJ51 MFN51 LVR51 LLV51 LBZ51 KSD51 KIH51 JYL51 JOP51 JET51 IUX51 ILB51 IBF51 HRJ51 HHN51 GXR51 GNV51 GDZ51 FUD51 FKH51 FAL51 EQP51 EGT51 DWX51 DNB51 DDF51 CTJ51 CJN51 BZR51 BPV51 BFZ51 AWD51 AMH51 ACL51 SP51 IT51 VRR983104 WVF983094 WLJ983094 WBN983094 VRR983094 VHV983094 UXZ983094 UOD983094 UEH983094 TUL983094 TKP983094 TAT983094 SQX983094 SHB983094 RXF983094 RNJ983094 RDN983094 QTR983094 QJV983094 PZZ983094 PQD983094 PGH983094 OWL983094 OMP983094 OCT983094 NSX983094 NJB983094 MZF983094 MPJ983094 MFN983094 LVR983094 LLV983094 LBZ983094 KSD983094 KIH983094 JYL983094 JOP983094 JET983094 IUX983094 ILB983094 IBF983094 HRJ983094 HHN983094 GXR983094 GNV983094 GDZ983094 FUD983094 FKH983094 FAL983094 EQP983094 EGT983094 DWX983094 DNB983094 DDF983094 CTJ983094 CJN983094 BZR983094 BPV983094 BFZ983094 AWD983094 AMH983094 ACL983094 SP983094 IT983094 D983094 WVF917558 WLJ917558 WBN917558 VRR917558 VHV917558 UXZ917558 UOD917558 UEH917558 TUL917558 TKP917558 TAT917558 SQX917558 SHB917558 RXF917558 RNJ917558 RDN917558 QTR917558 QJV917558 PZZ917558 PQD917558 PGH917558 OWL917558 OMP917558 OCT917558 NSX917558 NJB917558 MZF917558 MPJ917558 MFN917558 LVR917558 LLV917558 LBZ917558 KSD917558 KIH917558 JYL917558 JOP917558 JET917558 IUX917558 ILB917558 IBF917558 HRJ917558 HHN917558 GXR917558 GNV917558 GDZ917558 FUD917558 FKH917558 FAL917558 EQP917558 EGT917558 DWX917558 DNB917558 DDF917558 CTJ917558 CJN917558 BZR917558 BPV917558 BFZ917558 AWD917558 AMH917558 ACL917558 SP917558 IT917558 D917558 WVF852022 WLJ852022 WBN852022 VRR852022 VHV852022 UXZ852022 UOD852022 UEH852022 TUL852022 TKP852022 TAT852022 SQX852022 SHB852022 RXF852022 RNJ852022 RDN852022 QTR852022 QJV852022 PZZ852022 PQD852022 PGH852022 OWL852022 OMP852022 OCT852022 NSX852022 NJB852022 MZF852022 MPJ852022 MFN852022 LVR852022 LLV852022 LBZ852022 KSD852022 KIH852022 JYL852022 JOP852022 JET852022 IUX852022 ILB852022 IBF852022 HRJ852022 HHN852022 GXR852022 GNV852022 GDZ852022 FUD852022 FKH852022 FAL852022 EQP852022 EGT852022 DWX852022 DNB852022 DDF852022 CTJ852022 CJN852022 BZR852022 BPV852022 BFZ852022 AWD852022 AMH852022 ACL852022 SP852022 IT852022 D852022 WVF786486 WLJ786486 WBN786486 VRR786486 VHV786486 UXZ786486 UOD786486 UEH786486 TUL786486 TKP786486 TAT786486 SQX786486 SHB786486 RXF786486 RNJ786486 RDN786486 QTR786486 QJV786486 PZZ786486 PQD786486 PGH786486 OWL786486 OMP786486 OCT786486 NSX786486 NJB786486 MZF786486 MPJ786486 MFN786486 LVR786486 LLV786486 LBZ786486 KSD786486 KIH786486 JYL786486 JOP786486 JET786486 IUX786486 ILB786486 IBF786486 HRJ786486 HHN786486 GXR786486 GNV786486 GDZ786486 FUD786486 FKH786486 FAL786486 EQP786486 EGT786486 DWX786486 DNB786486 DDF786486 CTJ786486 CJN786486 BZR786486 BPV786486 BFZ786486 AWD786486 AMH786486 ACL786486 SP786486 IT786486 D786486 WVF720950 WLJ720950 WBN720950 VRR720950 VHV720950 UXZ720950 UOD720950 UEH720950 TUL720950 TKP720950 TAT720950 SQX720950 SHB720950 RXF720950 RNJ720950 RDN720950 QTR720950 QJV720950 PZZ720950 PQD720950 PGH720950 OWL720950 OMP720950 OCT720950 NSX720950 NJB720950 MZF720950 MPJ720950 MFN720950 LVR720950 LLV720950 LBZ720950 KSD720950 KIH720950 JYL720950 JOP720950 JET720950 IUX720950 ILB720950 IBF720950 HRJ720950 HHN720950 GXR720950 GNV720950 GDZ720950 FUD720950 FKH720950 FAL720950 EQP720950 EGT720950 DWX720950 DNB720950 DDF720950 CTJ720950 CJN720950 BZR720950 BPV720950 BFZ720950 AWD720950 AMH720950 ACL720950 SP720950 IT720950 D720950 WVF655414 WLJ655414 WBN655414 VRR655414 VHV655414 UXZ655414 UOD655414 UEH655414 TUL655414 TKP655414 TAT655414 SQX655414 SHB655414 RXF655414 RNJ655414 RDN655414 QTR655414 QJV655414 PZZ655414 PQD655414 PGH655414 OWL655414 OMP655414 OCT655414 NSX655414 NJB655414 MZF655414 MPJ655414 MFN655414 LVR655414 LLV655414 LBZ655414 KSD655414 KIH655414 JYL655414 JOP655414 JET655414 IUX655414 ILB655414 IBF655414 HRJ655414 HHN655414 GXR655414 GNV655414 GDZ655414 FUD655414 FKH655414 FAL655414 EQP655414 EGT655414 DWX655414 DNB655414 DDF655414 CTJ655414 CJN655414 BZR655414 BPV655414 BFZ655414 AWD655414 AMH655414 ACL655414 SP655414 IT655414 D655414 WVF589878 WLJ589878 WBN589878 VRR589878 VHV589878 UXZ589878 UOD589878 UEH589878 TUL589878 TKP589878 TAT589878 SQX589878 SHB589878 RXF589878 RNJ589878 RDN589878 QTR589878 QJV589878 PZZ589878 PQD589878 PGH589878 OWL589878 OMP589878 OCT589878 NSX589878 NJB589878 MZF589878 MPJ589878 MFN589878 LVR589878 LLV589878 LBZ589878 KSD589878 KIH589878 JYL589878 JOP589878 JET589878 IUX589878 ILB589878 IBF589878 HRJ589878 HHN589878 GXR589878 GNV589878 GDZ589878 FUD589878 FKH589878 FAL589878 EQP589878 EGT589878 DWX589878 DNB589878 DDF589878 CTJ589878 CJN589878 BZR589878 BPV589878 BFZ589878 AWD589878 AMH589878 ACL589878 SP589878 IT589878 D589878 WVF524342 WLJ524342 WBN524342 VRR524342 VHV524342 UXZ524342 UOD524342 UEH524342 TUL524342 TKP524342 TAT524342 SQX524342 SHB524342 RXF524342 RNJ524342 RDN524342 QTR524342 QJV524342 PZZ524342 PQD524342 PGH524342 OWL524342 OMP524342 OCT524342 NSX524342 NJB524342 MZF524342 MPJ524342 MFN524342 LVR524342 LLV524342 LBZ524342 KSD524342 KIH524342 JYL524342 JOP524342 JET524342 IUX524342 ILB524342 IBF524342 HRJ524342 HHN524342 GXR524342 GNV524342 GDZ524342 FUD524342 FKH524342 FAL524342 EQP524342 EGT524342 DWX524342 DNB524342 DDF524342 CTJ524342 CJN524342 BZR524342 BPV524342 BFZ524342 AWD524342 AMH524342 ACL524342 SP524342 IT524342 D524342 WVF458806 WLJ458806 WBN458806 VRR458806 VHV458806 UXZ458806 UOD458806 UEH458806 TUL458806 TKP458806 TAT458806 SQX458806 SHB458806 RXF458806 RNJ458806 RDN458806 QTR458806 QJV458806 PZZ458806 PQD458806 PGH458806 OWL458806 OMP458806 OCT458806 NSX458806 NJB458806 MZF458806 MPJ458806 MFN458806 LVR458806 LLV458806 LBZ458806 KSD458806 KIH458806 JYL458806 JOP458806 JET458806 IUX458806 ILB458806 IBF458806 HRJ458806 HHN458806 GXR458806 GNV458806 GDZ458806 FUD458806 FKH458806 FAL458806 EQP458806 EGT458806 DWX458806 DNB458806 DDF458806 CTJ458806 CJN458806 BZR458806 BPV458806 BFZ458806 AWD458806 AMH458806 ACL458806 SP458806 IT458806 D458806 WVF393270 WLJ393270 WBN393270 VRR393270 VHV393270 UXZ393270 UOD393270 UEH393270 TUL393270 TKP393270 TAT393270 SQX393270 SHB393270 RXF393270 RNJ393270 RDN393270 QTR393270 QJV393270 PZZ393270 PQD393270 PGH393270 OWL393270 OMP393270 OCT393270 NSX393270 NJB393270 MZF393270 MPJ393270 MFN393270 LVR393270 LLV393270 LBZ393270 KSD393270 KIH393270 JYL393270 JOP393270 JET393270 IUX393270 ILB393270 IBF393270 HRJ393270 HHN393270 GXR393270 GNV393270 GDZ393270 FUD393270 FKH393270 FAL393270 EQP393270 EGT393270 DWX393270 DNB393270 DDF393270 CTJ393270 CJN393270 BZR393270 BPV393270 BFZ393270 AWD393270 AMH393270 ACL393270 SP393270 IT393270 D393270 WVF327734 WLJ327734 WBN327734 VRR327734 VHV327734 UXZ327734 UOD327734 UEH327734 TUL327734 TKP327734 TAT327734 SQX327734 SHB327734 RXF327734 RNJ327734 RDN327734 QTR327734 QJV327734 PZZ327734 PQD327734 PGH327734 OWL327734 OMP327734 OCT327734 NSX327734 NJB327734 MZF327734 MPJ327734 MFN327734 LVR327734 LLV327734 LBZ327734 KSD327734 KIH327734 JYL327734 JOP327734 JET327734 IUX327734 ILB327734 IBF327734 HRJ327734 HHN327734 GXR327734 GNV327734 GDZ327734 FUD327734 FKH327734 FAL327734 EQP327734 EGT327734 DWX327734 DNB327734 DDF327734 CTJ327734 CJN327734 BZR327734 BPV327734 BFZ327734 AWD327734 AMH327734 ACL327734 SP327734 IT327734 D327734 WVF262198 WLJ262198 WBN262198 VRR262198 VHV262198 UXZ262198 UOD262198 UEH262198 TUL262198 TKP262198 TAT262198 SQX262198 SHB262198 RXF262198 RNJ262198 RDN262198 QTR262198 QJV262198 PZZ262198 PQD262198 PGH262198 OWL262198 OMP262198 OCT262198 NSX262198 NJB262198 MZF262198 MPJ262198 MFN262198 LVR262198 LLV262198 LBZ262198 KSD262198 KIH262198 JYL262198 JOP262198 JET262198 IUX262198 ILB262198 IBF262198 HRJ262198 HHN262198 GXR262198 GNV262198 GDZ262198 FUD262198 FKH262198 FAL262198 EQP262198 EGT262198 DWX262198 DNB262198 DDF262198 CTJ262198 CJN262198 BZR262198 BPV262198 BFZ262198 AWD262198 AMH262198 ACL262198 SP262198 IT262198 D262198 WVF196662 WLJ196662 WBN196662 VRR196662 VHV196662 UXZ196662 UOD196662 UEH196662 TUL196662 TKP196662 TAT196662 SQX196662 SHB196662 RXF196662 RNJ196662 RDN196662 QTR196662 QJV196662 PZZ196662 PQD196662 PGH196662 OWL196662 OMP196662 OCT196662 NSX196662 NJB196662 MZF196662 MPJ196662 MFN196662 LVR196662 LLV196662 LBZ196662 KSD196662 KIH196662 JYL196662 JOP196662 JET196662 IUX196662 ILB196662 IBF196662 HRJ196662 HHN196662 GXR196662 GNV196662 GDZ196662 FUD196662 FKH196662 FAL196662 EQP196662 EGT196662 DWX196662 DNB196662 DDF196662 CTJ196662 CJN196662 BZR196662 BPV196662 BFZ196662 AWD196662 AMH196662 ACL196662 SP196662 IT196662 D196662 WVF131126 WLJ131126 WBN131126 VRR131126 VHV131126 UXZ131126 UOD131126 UEH131126 TUL131126 TKP131126 TAT131126 SQX131126 SHB131126 RXF131126 RNJ131126 RDN131126 QTR131126 QJV131126 PZZ131126 PQD131126 PGH131126 OWL131126 OMP131126 OCT131126 NSX131126 NJB131126 MZF131126 MPJ131126 MFN131126 LVR131126 LLV131126 LBZ131126 KSD131126 KIH131126 JYL131126 JOP131126 JET131126 IUX131126 ILB131126 IBF131126 HRJ131126 HHN131126 GXR131126 GNV131126 GDZ131126 FUD131126 FKH131126 FAL131126 EQP131126 EGT131126 DWX131126 DNB131126 DDF131126 CTJ131126 CJN131126 BZR131126 BPV131126 BFZ131126 AWD131126 AMH131126 ACL131126 SP131126 IT131126 D131126 WVF65590 WLJ65590 WBN65590 VRR65590 VHV65590 UXZ65590 UOD65590 UEH65590 TUL65590 TKP65590 TAT65590 SQX65590 SHB65590 RXF65590 RNJ65590 RDN65590 QTR65590 QJV65590 PZZ65590 PQD65590 PGH65590 OWL65590 OMP65590 OCT65590 NSX65590 NJB65590 MZF65590 MPJ65590 MFN65590 LVR65590 LLV65590 LBZ65590 KSD65590 KIH65590 JYL65590 JOP65590 JET65590 IUX65590 ILB65590 IBF65590 HRJ65590 HHN65590 GXR65590 GNV65590 GDZ65590 FUD65590 FKH65590 FAL65590 EQP65590 EGT65590 DWX65590 DNB65590 DDF65590 CTJ65590 CJN65590 BZR65590 BPV65590 BFZ65590 AWD65590 AMH65590 ACL65590 SP65590 IT65590 D65590 WVF49 WLJ49 WBN49 VRR49 VHV49 UXZ49 UOD49 UEH49 TUL49 TKP49 TAT49 SQX49 SHB49 RXF49 RNJ49 RDN49 QTR49 QJV49 PZZ49 PQD49 PGH49 OWL49 OMP49 OCT49 NSX49 NJB49 MZF49 MPJ49 MFN49 LVR49 LLV49 LBZ49 KSD49 KIH49 JYL49 JOP49 JET49 IUX49 ILB49 IBF49 HRJ49 HHN49 GXR49 GNV49 GDZ49 FUD49 FKH49 FAL49 EQP49 EGT49 DWX49 DNB49 DDF49 CTJ49 CJN49 BZR49 BPV49 BFZ49 AWD49 AMH49 ACL49 SP49 IT49 WBN983104 WVF983092 WLJ983092 WBN983092 VRR983092 VHV983092 UXZ983092 UOD983092 UEH983092 TUL983092 TKP983092 TAT983092 SQX983092 SHB983092 RXF983092 RNJ983092 RDN983092 QTR983092 QJV983092 PZZ983092 PQD983092 PGH983092 OWL983092 OMP983092 OCT983092 NSX983092 NJB983092 MZF983092 MPJ983092 MFN983092 LVR983092 LLV983092 LBZ983092 KSD983092 KIH983092 JYL983092 JOP983092 JET983092 IUX983092 ILB983092 IBF983092 HRJ983092 HHN983092 GXR983092 GNV983092 GDZ983092 FUD983092 FKH983092 FAL983092 EQP983092 EGT983092 DWX983092 DNB983092 DDF983092 CTJ983092 CJN983092 BZR983092 BPV983092 BFZ983092 AWD983092 AMH983092 ACL983092 SP983092 IT983092 D983092 WVF917556 WLJ917556 WBN917556 VRR917556 VHV917556 UXZ917556 UOD917556 UEH917556 TUL917556 TKP917556 TAT917556 SQX917556 SHB917556 RXF917556 RNJ917556 RDN917556 QTR917556 QJV917556 PZZ917556 PQD917556 PGH917556 OWL917556 OMP917556 OCT917556 NSX917556 NJB917556 MZF917556 MPJ917556 MFN917556 LVR917556 LLV917556 LBZ917556 KSD917556 KIH917556 JYL917556 JOP917556 JET917556 IUX917556 ILB917556 IBF917556 HRJ917556 HHN917556 GXR917556 GNV917556 GDZ917556 FUD917556 FKH917556 FAL917556 EQP917556 EGT917556 DWX917556 DNB917556 DDF917556 CTJ917556 CJN917556 BZR917556 BPV917556 BFZ917556 AWD917556 AMH917556 ACL917556 SP917556 IT917556 D917556 WVF852020 WLJ852020 WBN852020 VRR852020 VHV852020 UXZ852020 UOD852020 UEH852020 TUL852020 TKP852020 TAT852020 SQX852020 SHB852020 RXF852020 RNJ852020 RDN852020 QTR852020 QJV852020 PZZ852020 PQD852020 PGH852020 OWL852020 OMP852020 OCT852020 NSX852020 NJB852020 MZF852020 MPJ852020 MFN852020 LVR852020 LLV852020 LBZ852020 KSD852020 KIH852020 JYL852020 JOP852020 JET852020 IUX852020 ILB852020 IBF852020 HRJ852020 HHN852020 GXR852020 GNV852020 GDZ852020 FUD852020 FKH852020 FAL852020 EQP852020 EGT852020 DWX852020 DNB852020 DDF852020 CTJ852020 CJN852020 BZR852020 BPV852020 BFZ852020 AWD852020 AMH852020 ACL852020 SP852020 IT852020 D852020 WVF786484 WLJ786484 WBN786484 VRR786484 VHV786484 UXZ786484 UOD786484 UEH786484 TUL786484 TKP786484 TAT786484 SQX786484 SHB786484 RXF786484 RNJ786484 RDN786484 QTR786484 QJV786484 PZZ786484 PQD786484 PGH786484 OWL786484 OMP786484 OCT786484 NSX786484 NJB786484 MZF786484 MPJ786484 MFN786484 LVR786484 LLV786484 LBZ786484 KSD786484 KIH786484 JYL786484 JOP786484 JET786484 IUX786484 ILB786484 IBF786484 HRJ786484 HHN786484 GXR786484 GNV786484 GDZ786484 FUD786484 FKH786484 FAL786484 EQP786484 EGT786484 DWX786484 DNB786484 DDF786484 CTJ786484 CJN786484 BZR786484 BPV786484 BFZ786484 AWD786484 AMH786484 ACL786484 SP786484 IT786484 D786484 WVF720948 WLJ720948 WBN720948 VRR720948 VHV720948 UXZ720948 UOD720948 UEH720948 TUL720948 TKP720948 TAT720948 SQX720948 SHB720948 RXF720948 RNJ720948 RDN720948 QTR720948 QJV720948 PZZ720948 PQD720948 PGH720948 OWL720948 OMP720948 OCT720948 NSX720948 NJB720948 MZF720948 MPJ720948 MFN720948 LVR720948 LLV720948 LBZ720948 KSD720948 KIH720948 JYL720948 JOP720948 JET720948 IUX720948 ILB720948 IBF720948 HRJ720948 HHN720948 GXR720948 GNV720948 GDZ720948 FUD720948 FKH720948 FAL720948 EQP720948 EGT720948 DWX720948 DNB720948 DDF720948 CTJ720948 CJN720948 BZR720948 BPV720948 BFZ720948 AWD720948 AMH720948 ACL720948 SP720948 IT720948 D720948 WVF655412 WLJ655412 WBN655412 VRR655412 VHV655412 UXZ655412 UOD655412 UEH655412 TUL655412 TKP655412 TAT655412 SQX655412 SHB655412 RXF655412 RNJ655412 RDN655412 QTR655412 QJV655412 PZZ655412 PQD655412 PGH655412 OWL655412 OMP655412 OCT655412 NSX655412 NJB655412 MZF655412 MPJ655412 MFN655412 LVR655412 LLV655412 LBZ655412 KSD655412 KIH655412 JYL655412 JOP655412 JET655412 IUX655412 ILB655412 IBF655412 HRJ655412 HHN655412 GXR655412 GNV655412 GDZ655412 FUD655412 FKH655412 FAL655412 EQP655412 EGT655412 DWX655412 DNB655412 DDF655412 CTJ655412 CJN655412 BZR655412 BPV655412 BFZ655412 AWD655412 AMH655412 ACL655412 SP655412 IT655412 D655412 WVF589876 WLJ589876 WBN589876 VRR589876 VHV589876 UXZ589876 UOD589876 UEH589876 TUL589876 TKP589876 TAT589876 SQX589876 SHB589876 RXF589876 RNJ589876 RDN589876 QTR589876 QJV589876 PZZ589876 PQD589876 PGH589876 OWL589876 OMP589876 OCT589876 NSX589876 NJB589876 MZF589876 MPJ589876 MFN589876 LVR589876 LLV589876 LBZ589876 KSD589876 KIH589876 JYL589876 JOP589876 JET589876 IUX589876 ILB589876 IBF589876 HRJ589876 HHN589876 GXR589876 GNV589876 GDZ589876 FUD589876 FKH589876 FAL589876 EQP589876 EGT589876 DWX589876 DNB589876 DDF589876 CTJ589876 CJN589876 BZR589876 BPV589876 BFZ589876 AWD589876 AMH589876 ACL589876 SP589876 IT589876 D589876 WVF524340 WLJ524340 WBN524340 VRR524340 VHV524340 UXZ524340 UOD524340 UEH524340 TUL524340 TKP524340 TAT524340 SQX524340 SHB524340 RXF524340 RNJ524340 RDN524340 QTR524340 QJV524340 PZZ524340 PQD524340 PGH524340 OWL524340 OMP524340 OCT524340 NSX524340 NJB524340 MZF524340 MPJ524340 MFN524340 LVR524340 LLV524340 LBZ524340 KSD524340 KIH524340 JYL524340 JOP524340 JET524340 IUX524340 ILB524340 IBF524340 HRJ524340 HHN524340 GXR524340 GNV524340 GDZ524340 FUD524340 FKH524340 FAL524340 EQP524340 EGT524340 DWX524340 DNB524340 DDF524340 CTJ524340 CJN524340 BZR524340 BPV524340 BFZ524340 AWD524340 AMH524340 ACL524340 SP524340 IT524340 D524340 WVF458804 WLJ458804 WBN458804 VRR458804 VHV458804 UXZ458804 UOD458804 UEH458804 TUL458804 TKP458804 TAT458804 SQX458804 SHB458804 RXF458804 RNJ458804 RDN458804 QTR458804 QJV458804 PZZ458804 PQD458804 PGH458804 OWL458804 OMP458804 OCT458804 NSX458804 NJB458804 MZF458804 MPJ458804 MFN458804 LVR458804 LLV458804 LBZ458804 KSD458804 KIH458804 JYL458804 JOP458804 JET458804 IUX458804 ILB458804 IBF458804 HRJ458804 HHN458804 GXR458804 GNV458804 GDZ458804 FUD458804 FKH458804 FAL458804 EQP458804 EGT458804 DWX458804 DNB458804 DDF458804 CTJ458804 CJN458804 BZR458804 BPV458804 BFZ458804 AWD458804 AMH458804 ACL458804 SP458804 IT458804 D458804 WVF393268 WLJ393268 WBN393268 VRR393268 VHV393268 UXZ393268 UOD393268 UEH393268 TUL393268 TKP393268 TAT393268 SQX393268 SHB393268 RXF393268 RNJ393268 RDN393268 QTR393268 QJV393268 PZZ393268 PQD393268 PGH393268 OWL393268 OMP393268 OCT393268 NSX393268 NJB393268 MZF393268 MPJ393268 MFN393268 LVR393268 LLV393268 LBZ393268 KSD393268 KIH393268 JYL393268 JOP393268 JET393268 IUX393268 ILB393268 IBF393268 HRJ393268 HHN393268 GXR393268 GNV393268 GDZ393268 FUD393268 FKH393268 FAL393268 EQP393268 EGT393268 DWX393268 DNB393268 DDF393268 CTJ393268 CJN393268 BZR393268 BPV393268 BFZ393268 AWD393268 AMH393268 ACL393268 SP393268 IT393268 D393268 WVF327732 WLJ327732 WBN327732 VRR327732 VHV327732 UXZ327732 UOD327732 UEH327732 TUL327732 TKP327732 TAT327732 SQX327732 SHB327732 RXF327732 RNJ327732 RDN327732 QTR327732 QJV327732 PZZ327732 PQD327732 PGH327732 OWL327732 OMP327732 OCT327732 NSX327732 NJB327732 MZF327732 MPJ327732 MFN327732 LVR327732 LLV327732 LBZ327732 KSD327732 KIH327732 JYL327732 JOP327732 JET327732 IUX327732 ILB327732 IBF327732 HRJ327732 HHN327732 GXR327732 GNV327732 GDZ327732 FUD327732 FKH327732 FAL327732 EQP327732 EGT327732 DWX327732 DNB327732 DDF327732 CTJ327732 CJN327732 BZR327732 BPV327732 BFZ327732 AWD327732 AMH327732 ACL327732 SP327732 IT327732 D327732 WVF262196 WLJ262196 WBN262196 VRR262196 VHV262196 UXZ262196 UOD262196 UEH262196 TUL262196 TKP262196 TAT262196 SQX262196 SHB262196 RXF262196 RNJ262196 RDN262196 QTR262196 QJV262196 PZZ262196 PQD262196 PGH262196 OWL262196 OMP262196 OCT262196 NSX262196 NJB262196 MZF262196 MPJ262196 MFN262196 LVR262196 LLV262196 LBZ262196 KSD262196 KIH262196 JYL262196 JOP262196 JET262196 IUX262196 ILB262196 IBF262196 HRJ262196 HHN262196 GXR262196 GNV262196 GDZ262196 FUD262196 FKH262196 FAL262196 EQP262196 EGT262196 DWX262196 DNB262196 DDF262196 CTJ262196 CJN262196 BZR262196 BPV262196 BFZ262196 AWD262196 AMH262196 ACL262196 SP262196 IT262196 D262196 WVF196660 WLJ196660 WBN196660 VRR196660 VHV196660 UXZ196660 UOD196660 UEH196660 TUL196660 TKP196660 TAT196660 SQX196660 SHB196660 RXF196660 RNJ196660 RDN196660 QTR196660 QJV196660 PZZ196660 PQD196660 PGH196660 OWL196660 OMP196660 OCT196660 NSX196660 NJB196660 MZF196660 MPJ196660 MFN196660 LVR196660 LLV196660 LBZ196660 KSD196660 KIH196660 JYL196660 JOP196660 JET196660 IUX196660 ILB196660 IBF196660 HRJ196660 HHN196660 GXR196660 GNV196660 GDZ196660 FUD196660 FKH196660 FAL196660 EQP196660 EGT196660 DWX196660 DNB196660 DDF196660 CTJ196660 CJN196660 BZR196660 BPV196660 BFZ196660 AWD196660 AMH196660 ACL196660 SP196660 IT196660 D196660 WVF131124 WLJ131124 WBN131124 VRR131124 VHV131124 UXZ131124 UOD131124 UEH131124 TUL131124 TKP131124 TAT131124 SQX131124 SHB131124 RXF131124 RNJ131124 RDN131124 QTR131124 QJV131124 PZZ131124 PQD131124 PGH131124 OWL131124 OMP131124 OCT131124 NSX131124 NJB131124 MZF131124 MPJ131124 MFN131124 LVR131124 LLV131124 LBZ131124 KSD131124 KIH131124 JYL131124 JOP131124 JET131124 IUX131124 ILB131124 IBF131124 HRJ131124 HHN131124 GXR131124 GNV131124 GDZ131124 FUD131124 FKH131124 FAL131124 EQP131124 EGT131124 DWX131124 DNB131124 DDF131124 CTJ131124 CJN131124 BZR131124 BPV131124 BFZ131124 AWD131124 AMH131124 ACL131124 SP131124 IT131124 D131124 WVF65588 WLJ65588 WBN65588 VRR65588 VHV65588 UXZ65588 UOD65588 UEH65588 TUL65588 TKP65588 TAT65588 SQX65588 SHB65588 RXF65588 RNJ65588 RDN65588 QTR65588 QJV65588 PZZ65588 PQD65588 PGH65588 OWL65588 OMP65588 OCT65588 NSX65588 NJB65588 MZF65588 MPJ65588 MFN65588 LVR65588 LLV65588 LBZ65588 KSD65588 KIH65588 JYL65588 JOP65588 JET65588 IUX65588 ILB65588 IBF65588 HRJ65588 HHN65588 GXR65588 GNV65588 GDZ65588 FUD65588 FKH65588 FAL65588 EQP65588 EGT65588 DWX65588 DNB65588 DDF65588 CTJ65588 CJN65588 BZR65588 BPV65588 BFZ65588 AWD65588 AMH65588 ACL65588 SP65588 IT65588 D65588 WVF47 WLJ47 WBN47 VRR47 VHV47 UXZ47 UOD47 UEH47 TUL47 TKP47 TAT47 SQX47 SHB47 RXF47 RNJ47 RDN47 QTR47 QJV47 PZZ47 PQD47 PGH47 OWL47 OMP47 OCT47 NSX47 NJB47 MZF47 MPJ47 MFN47 LVR47 LLV47 LBZ47 KSD47 KIH47 JYL47 JOP47 JET47 IUX47 ILB47 IBF47 HRJ47 HHN47 GXR47 GNV47 GDZ47 FUD47 FKH47 FAL47 EQP47 EGT47 DWX47 DNB47 DDF47 CTJ47 CJN47 BZR47 BPV47 BFZ47 AWD47 AMH47 ACL47 SP47 IT47 WLJ983104 WVF983090 WLJ983090 WBN983090 VRR983090 VHV983090 UXZ983090 UOD983090 UEH983090 TUL983090 TKP983090 TAT983090 SQX983090 SHB983090 RXF983090 RNJ983090 RDN983090 QTR983090 QJV983090 PZZ983090 PQD983090 PGH983090 OWL983090 OMP983090 OCT983090 NSX983090 NJB983090 MZF983090 MPJ983090 MFN983090 LVR983090 LLV983090 LBZ983090 KSD983090 KIH983090 JYL983090 JOP983090 JET983090 IUX983090 ILB983090 IBF983090 HRJ983090 HHN983090 GXR983090 GNV983090 GDZ983090 FUD983090 FKH983090 FAL983090 EQP983090 EGT983090 DWX983090 DNB983090 DDF983090 CTJ983090 CJN983090 BZR983090 BPV983090 BFZ983090 AWD983090 AMH983090 ACL983090 SP983090 IT983090 D983090 WVF917554 WLJ917554 WBN917554 VRR917554 VHV917554 UXZ917554 UOD917554 UEH917554 TUL917554 TKP917554 TAT917554 SQX917554 SHB917554 RXF917554 RNJ917554 RDN917554 QTR917554 QJV917554 PZZ917554 PQD917554 PGH917554 OWL917554 OMP917554 OCT917554 NSX917554 NJB917554 MZF917554 MPJ917554 MFN917554 LVR917554 LLV917554 LBZ917554 KSD917554 KIH917554 JYL917554 JOP917554 JET917554 IUX917554 ILB917554 IBF917554 HRJ917554 HHN917554 GXR917554 GNV917554 GDZ917554 FUD917554 FKH917554 FAL917554 EQP917554 EGT917554 DWX917554 DNB917554 DDF917554 CTJ917554 CJN917554 BZR917554 BPV917554 BFZ917554 AWD917554 AMH917554 ACL917554 SP917554 IT917554 D917554 WVF852018 WLJ852018 WBN852018 VRR852018 VHV852018 UXZ852018 UOD852018 UEH852018 TUL852018 TKP852018 TAT852018 SQX852018 SHB852018 RXF852018 RNJ852018 RDN852018 QTR852018 QJV852018 PZZ852018 PQD852018 PGH852018 OWL852018 OMP852018 OCT852018 NSX852018 NJB852018 MZF852018 MPJ852018 MFN852018 LVR852018 LLV852018 LBZ852018 KSD852018 KIH852018 JYL852018 JOP852018 JET852018 IUX852018 ILB852018 IBF852018 HRJ852018 HHN852018 GXR852018 GNV852018 GDZ852018 FUD852018 FKH852018 FAL852018 EQP852018 EGT852018 DWX852018 DNB852018 DDF852018 CTJ852018 CJN852018 BZR852018 BPV852018 BFZ852018 AWD852018 AMH852018 ACL852018 SP852018 IT852018 D852018 WVF786482 WLJ786482 WBN786482 VRR786482 VHV786482 UXZ786482 UOD786482 UEH786482 TUL786482 TKP786482 TAT786482 SQX786482 SHB786482 RXF786482 RNJ786482 RDN786482 QTR786482 QJV786482 PZZ786482 PQD786482 PGH786482 OWL786482 OMP786482 OCT786482 NSX786482 NJB786482 MZF786482 MPJ786482 MFN786482 LVR786482 LLV786482 LBZ786482 KSD786482 KIH786482 JYL786482 JOP786482 JET786482 IUX786482 ILB786482 IBF786482 HRJ786482 HHN786482 GXR786482 GNV786482 GDZ786482 FUD786482 FKH786482 FAL786482 EQP786482 EGT786482 DWX786482 DNB786482 DDF786482 CTJ786482 CJN786482 BZR786482 BPV786482 BFZ786482 AWD786482 AMH786482 ACL786482 SP786482 IT786482 D786482 WVF720946 WLJ720946 WBN720946 VRR720946 VHV720946 UXZ720946 UOD720946 UEH720946 TUL720946 TKP720946 TAT720946 SQX720946 SHB720946 RXF720946 RNJ720946 RDN720946 QTR720946 QJV720946 PZZ720946 PQD720946 PGH720946 OWL720946 OMP720946 OCT720946 NSX720946 NJB720946 MZF720946 MPJ720946 MFN720946 LVR720946 LLV720946 LBZ720946 KSD720946 KIH720946 JYL720946 JOP720946 JET720946 IUX720946 ILB720946 IBF720946 HRJ720946 HHN720946 GXR720946 GNV720946 GDZ720946 FUD720946 FKH720946 FAL720946 EQP720946 EGT720946 DWX720946 DNB720946 DDF720946 CTJ720946 CJN720946 BZR720946 BPV720946 BFZ720946 AWD720946 AMH720946 ACL720946 SP720946 IT720946 D720946 WVF655410 WLJ655410 WBN655410 VRR655410 VHV655410 UXZ655410 UOD655410 UEH655410 TUL655410 TKP655410 TAT655410 SQX655410 SHB655410 RXF655410 RNJ655410 RDN655410 QTR655410 QJV655410 PZZ655410 PQD655410 PGH655410 OWL655410 OMP655410 OCT655410 NSX655410 NJB655410 MZF655410 MPJ655410 MFN655410 LVR655410 LLV655410 LBZ655410 KSD655410 KIH655410 JYL655410 JOP655410 JET655410 IUX655410 ILB655410 IBF655410 HRJ655410 HHN655410 GXR655410 GNV655410 GDZ655410 FUD655410 FKH655410 FAL655410 EQP655410 EGT655410 DWX655410 DNB655410 DDF655410 CTJ655410 CJN655410 BZR655410 BPV655410 BFZ655410 AWD655410 AMH655410 ACL655410 SP655410 IT655410 D655410 WVF589874 WLJ589874 WBN589874 VRR589874 VHV589874 UXZ589874 UOD589874 UEH589874 TUL589874 TKP589874 TAT589874 SQX589874 SHB589874 RXF589874 RNJ589874 RDN589874 QTR589874 QJV589874 PZZ589874 PQD589874 PGH589874 OWL589874 OMP589874 OCT589874 NSX589874 NJB589874 MZF589874 MPJ589874 MFN589874 LVR589874 LLV589874 LBZ589874 KSD589874 KIH589874 JYL589874 JOP589874 JET589874 IUX589874 ILB589874 IBF589874 HRJ589874 HHN589874 GXR589874 GNV589874 GDZ589874 FUD589874 FKH589874 FAL589874 EQP589874 EGT589874 DWX589874 DNB589874 DDF589874 CTJ589874 CJN589874 BZR589874 BPV589874 BFZ589874 AWD589874 AMH589874 ACL589874 SP589874 IT589874 D589874 WVF524338 WLJ524338 WBN524338 VRR524338 VHV524338 UXZ524338 UOD524338 UEH524338 TUL524338 TKP524338 TAT524338 SQX524338 SHB524338 RXF524338 RNJ524338 RDN524338 QTR524338 QJV524338 PZZ524338 PQD524338 PGH524338 OWL524338 OMP524338 OCT524338 NSX524338 NJB524338 MZF524338 MPJ524338 MFN524338 LVR524338 LLV524338 LBZ524338 KSD524338 KIH524338 JYL524338 JOP524338 JET524338 IUX524338 ILB524338 IBF524338 HRJ524338 HHN524338 GXR524338 GNV524338 GDZ524338 FUD524338 FKH524338 FAL524338 EQP524338 EGT524338 DWX524338 DNB524338 DDF524338 CTJ524338 CJN524338 BZR524338 BPV524338 BFZ524338 AWD524338 AMH524338 ACL524338 SP524338 IT524338 D524338 WVF458802 WLJ458802 WBN458802 VRR458802 VHV458802 UXZ458802 UOD458802 UEH458802 TUL458802 TKP458802 TAT458802 SQX458802 SHB458802 RXF458802 RNJ458802 RDN458802 QTR458802 QJV458802 PZZ458802 PQD458802 PGH458802 OWL458802 OMP458802 OCT458802 NSX458802 NJB458802 MZF458802 MPJ458802 MFN458802 LVR458802 LLV458802 LBZ458802 KSD458802 KIH458802 JYL458802 JOP458802 JET458802 IUX458802 ILB458802 IBF458802 HRJ458802 HHN458802 GXR458802 GNV458802 GDZ458802 FUD458802 FKH458802 FAL458802 EQP458802 EGT458802 DWX458802 DNB458802 DDF458802 CTJ458802 CJN458802 BZR458802 BPV458802 BFZ458802 AWD458802 AMH458802 ACL458802 SP458802 IT458802 D458802 WVF393266 WLJ393266 WBN393266 VRR393266 VHV393266 UXZ393266 UOD393266 UEH393266 TUL393266 TKP393266 TAT393266 SQX393266 SHB393266 RXF393266 RNJ393266 RDN393266 QTR393266 QJV393266 PZZ393266 PQD393266 PGH393266 OWL393266 OMP393266 OCT393266 NSX393266 NJB393266 MZF393266 MPJ393266 MFN393266 LVR393266 LLV393266 LBZ393266 KSD393266 KIH393266 JYL393266 JOP393266 JET393266 IUX393266 ILB393266 IBF393266 HRJ393266 HHN393266 GXR393266 GNV393266 GDZ393266 FUD393266 FKH393266 FAL393266 EQP393266 EGT393266 DWX393266 DNB393266 DDF393266 CTJ393266 CJN393266 BZR393266 BPV393266 BFZ393266 AWD393266 AMH393266 ACL393266 SP393266 IT393266 D393266 WVF327730 WLJ327730 WBN327730 VRR327730 VHV327730 UXZ327730 UOD327730 UEH327730 TUL327730 TKP327730 TAT327730 SQX327730 SHB327730 RXF327730 RNJ327730 RDN327730 QTR327730 QJV327730 PZZ327730 PQD327730 PGH327730 OWL327730 OMP327730 OCT327730 NSX327730 NJB327730 MZF327730 MPJ327730 MFN327730 LVR327730 LLV327730 LBZ327730 KSD327730 KIH327730 JYL327730 JOP327730 JET327730 IUX327730 ILB327730 IBF327730 HRJ327730 HHN327730 GXR327730 GNV327730 GDZ327730 FUD327730 FKH327730 FAL327730 EQP327730 EGT327730 DWX327730 DNB327730 DDF327730 CTJ327730 CJN327730 BZR327730 BPV327730 BFZ327730 AWD327730 AMH327730 ACL327730 SP327730 IT327730 D327730 WVF262194 WLJ262194 WBN262194 VRR262194 VHV262194 UXZ262194 UOD262194 UEH262194 TUL262194 TKP262194 TAT262194 SQX262194 SHB262194 RXF262194 RNJ262194 RDN262194 QTR262194 QJV262194 PZZ262194 PQD262194 PGH262194 OWL262194 OMP262194 OCT262194 NSX262194 NJB262194 MZF262194 MPJ262194 MFN262194 LVR262194 LLV262194 LBZ262194 KSD262194 KIH262194 JYL262194 JOP262194 JET262194 IUX262194 ILB262194 IBF262194 HRJ262194 HHN262194 GXR262194 GNV262194 GDZ262194 FUD262194 FKH262194 FAL262194 EQP262194 EGT262194 DWX262194 DNB262194 DDF262194 CTJ262194 CJN262194 BZR262194 BPV262194 BFZ262194 AWD262194 AMH262194 ACL262194 SP262194 IT262194 D262194 WVF196658 WLJ196658 WBN196658 VRR196658 VHV196658 UXZ196658 UOD196658 UEH196658 TUL196658 TKP196658 TAT196658 SQX196658 SHB196658 RXF196658 RNJ196658 RDN196658 QTR196658 QJV196658 PZZ196658 PQD196658 PGH196658 OWL196658 OMP196658 OCT196658 NSX196658 NJB196658 MZF196658 MPJ196658 MFN196658 LVR196658 LLV196658 LBZ196658 KSD196658 KIH196658 JYL196658 JOP196658 JET196658 IUX196658 ILB196658 IBF196658 HRJ196658 HHN196658 GXR196658 GNV196658 GDZ196658 FUD196658 FKH196658 FAL196658 EQP196658 EGT196658 DWX196658 DNB196658 DDF196658 CTJ196658 CJN196658 BZR196658 BPV196658 BFZ196658 AWD196658 AMH196658 ACL196658 SP196658 IT196658 D196658 WVF131122 WLJ131122 WBN131122 VRR131122 VHV131122 UXZ131122 UOD131122 UEH131122 TUL131122 TKP131122 TAT131122 SQX131122 SHB131122 RXF131122 RNJ131122 RDN131122 QTR131122 QJV131122 PZZ131122 PQD131122 PGH131122 OWL131122 OMP131122 OCT131122 NSX131122 NJB131122 MZF131122 MPJ131122 MFN131122 LVR131122 LLV131122 LBZ131122 KSD131122 KIH131122 JYL131122 JOP131122 JET131122 IUX131122 ILB131122 IBF131122 HRJ131122 HHN131122 GXR131122 GNV131122 GDZ131122 FUD131122 FKH131122 FAL131122 EQP131122 EGT131122 DWX131122 DNB131122 DDF131122 CTJ131122 CJN131122 BZR131122 BPV131122 BFZ131122 AWD131122 AMH131122 ACL131122 SP131122 IT131122 D131122 WVF65586 WLJ65586 WBN65586 VRR65586 VHV65586 UXZ65586 UOD65586 UEH65586 TUL65586 TKP65586 TAT65586 SQX65586 SHB65586 RXF65586 RNJ65586 RDN65586 QTR65586 QJV65586 PZZ65586 PQD65586 PGH65586 OWL65586 OMP65586 OCT65586 NSX65586 NJB65586 MZF65586 MPJ65586 MFN65586 LVR65586 LLV65586 LBZ65586 KSD65586 KIH65586 JYL65586 JOP65586 JET65586 IUX65586 ILB65586 IBF65586 HRJ65586 HHN65586 GXR65586 GNV65586 GDZ65586 FUD65586 FKH65586 FAL65586 EQP65586 EGT65586 DWX65586 DNB65586 DDF65586 CTJ65586 CJN65586 BZR65586 BPV65586 BFZ65586 AWD65586 AMH65586 ACL65586 SP65586 IT65586 D65586 WVF45 WLJ45 WBN45 VRR45 VHV45 UXZ45 UOD45 UEH45 TUL45 TKP45 TAT45 SQX45 SHB45 RXF45 RNJ45 RDN45 QTR45 QJV45 PZZ45 PQD45 PGH45 OWL45 OMP45 OCT45 NSX45 NJB45 MZF45 MPJ45 MFN45 LVR45 LLV45 LBZ45 KSD45 KIH45 JYL45 JOP45 JET45 IUX45 ILB45 IBF45 HRJ45 HHN45 GXR45 GNV45 GDZ45 FUD45 FKH45 FAL45 EQP45 EGT45 DWX45 DNB45 DDF45 CTJ45 CJN45 BZR45 BPV45 BFZ45 AWD45 AMH45 ACL45 SP45 IT45 WVF983104 WVF983098 WLJ983098 WBN983098 VRR983098 VHV983098 UXZ983098 UOD983098 UEH983098 TUL983098 TKP983098 TAT983098 SQX983098 SHB983098 RXF983098 RNJ983098 RDN983098 QTR983098 QJV983098 PZZ983098 PQD983098 PGH983098 OWL983098 OMP983098 OCT983098 NSX983098 NJB983098 MZF983098 MPJ983098 MFN983098 LVR983098 LLV983098 LBZ983098 KSD983098 KIH983098 JYL983098 JOP983098 JET983098 IUX983098 ILB983098 IBF983098 HRJ983098 HHN983098 GXR983098 GNV983098 GDZ983098 FUD983098 FKH983098 FAL983098 EQP983098 EGT983098 DWX983098 DNB983098 DDF983098 CTJ983098 CJN983098 BZR983098 BPV983098 BFZ983098 AWD983098 AMH983098 ACL983098 SP983098 IT983098 D983098 WVF917562 WLJ917562 WBN917562 VRR917562 VHV917562 UXZ917562 UOD917562 UEH917562 TUL917562 TKP917562 TAT917562 SQX917562 SHB917562 RXF917562 RNJ917562 RDN917562 QTR917562 QJV917562 PZZ917562 PQD917562 PGH917562 OWL917562 OMP917562 OCT917562 NSX917562 NJB917562 MZF917562 MPJ917562 MFN917562 LVR917562 LLV917562 LBZ917562 KSD917562 KIH917562 JYL917562 JOP917562 JET917562 IUX917562 ILB917562 IBF917562 HRJ917562 HHN917562 GXR917562 GNV917562 GDZ917562 FUD917562 FKH917562 FAL917562 EQP917562 EGT917562 DWX917562 DNB917562 DDF917562 CTJ917562 CJN917562 BZR917562 BPV917562 BFZ917562 AWD917562 AMH917562 ACL917562 SP917562 IT917562 D917562 WVF852026 WLJ852026 WBN852026 VRR852026 VHV852026 UXZ852026 UOD852026 UEH852026 TUL852026 TKP852026 TAT852026 SQX852026 SHB852026 RXF852026 RNJ852026 RDN852026 QTR852026 QJV852026 PZZ852026 PQD852026 PGH852026 OWL852026 OMP852026 OCT852026 NSX852026 NJB852026 MZF852026 MPJ852026 MFN852026 LVR852026 LLV852026 LBZ852026 KSD852026 KIH852026 JYL852026 JOP852026 JET852026 IUX852026 ILB852026 IBF852026 HRJ852026 HHN852026 GXR852026 GNV852026 GDZ852026 FUD852026 FKH852026 FAL852026 EQP852026 EGT852026 DWX852026 DNB852026 DDF852026 CTJ852026 CJN852026 BZR852026 BPV852026 BFZ852026 AWD852026 AMH852026 ACL852026 SP852026 IT852026 D852026 WVF786490 WLJ786490 WBN786490 VRR786490 VHV786490 UXZ786490 UOD786490 UEH786490 TUL786490 TKP786490 TAT786490 SQX786490 SHB786490 RXF786490 RNJ786490 RDN786490 QTR786490 QJV786490 PZZ786490 PQD786490 PGH786490 OWL786490 OMP786490 OCT786490 NSX786490 NJB786490 MZF786490 MPJ786490 MFN786490 LVR786490 LLV786490 LBZ786490 KSD786490 KIH786490 JYL786490 JOP786490 JET786490 IUX786490 ILB786490 IBF786490 HRJ786490 HHN786490 GXR786490 GNV786490 GDZ786490 FUD786490 FKH786490 FAL786490 EQP786490 EGT786490 DWX786490 DNB786490 DDF786490 CTJ786490 CJN786490 BZR786490 BPV786490 BFZ786490 AWD786490 AMH786490 ACL786490 SP786490 IT786490 D786490 WVF720954 WLJ720954 WBN720954 VRR720954 VHV720954 UXZ720954 UOD720954 UEH720954 TUL720954 TKP720954 TAT720954 SQX720954 SHB720954 RXF720954 RNJ720954 RDN720954 QTR720954 QJV720954 PZZ720954 PQD720954 PGH720954 OWL720954 OMP720954 OCT720954 NSX720954 NJB720954 MZF720954 MPJ720954 MFN720954 LVR720954 LLV720954 LBZ720954 KSD720954 KIH720954 JYL720954 JOP720954 JET720954 IUX720954 ILB720954 IBF720954 HRJ720954 HHN720954 GXR720954 GNV720954 GDZ720954 FUD720954 FKH720954 FAL720954 EQP720954 EGT720954 DWX720954 DNB720954 DDF720954 CTJ720954 CJN720954 BZR720954 BPV720954 BFZ720954 AWD720954 AMH720954 ACL720954 SP720954 IT720954 D720954 WVF655418 WLJ655418 WBN655418 VRR655418 VHV655418 UXZ655418 UOD655418 UEH655418 TUL655418 TKP655418 TAT655418 SQX655418 SHB655418 RXF655418 RNJ655418 RDN655418 QTR655418 QJV655418 PZZ655418 PQD655418 PGH655418 OWL655418 OMP655418 OCT655418 NSX655418 NJB655418 MZF655418 MPJ655418 MFN655418 LVR655418 LLV655418 LBZ655418 KSD655418 KIH655418 JYL655418 JOP655418 JET655418 IUX655418 ILB655418 IBF655418 HRJ655418 HHN655418 GXR655418 GNV655418 GDZ655418 FUD655418 FKH655418 FAL655418 EQP655418 EGT655418 DWX655418 DNB655418 DDF655418 CTJ655418 CJN655418 BZR655418 BPV655418 BFZ655418 AWD655418 AMH655418 ACL655418 SP655418 IT655418 D655418 WVF589882 WLJ589882 WBN589882 VRR589882 VHV589882 UXZ589882 UOD589882 UEH589882 TUL589882 TKP589882 TAT589882 SQX589882 SHB589882 RXF589882 RNJ589882 RDN589882 QTR589882 QJV589882 PZZ589882 PQD589882 PGH589882 OWL589882 OMP589882 OCT589882 NSX589882 NJB589882 MZF589882 MPJ589882 MFN589882 LVR589882 LLV589882 LBZ589882 KSD589882 KIH589882 JYL589882 JOP589882 JET589882 IUX589882 ILB589882 IBF589882 HRJ589882 HHN589882 GXR589882 GNV589882 GDZ589882 FUD589882 FKH589882 FAL589882 EQP589882 EGT589882 DWX589882 DNB589882 DDF589882 CTJ589882 CJN589882 BZR589882 BPV589882 BFZ589882 AWD589882 AMH589882 ACL589882 SP589882 IT589882 D589882 WVF524346 WLJ524346 WBN524346 VRR524346 VHV524346 UXZ524346 UOD524346 UEH524346 TUL524346 TKP524346 TAT524346 SQX524346 SHB524346 RXF524346 RNJ524346 RDN524346 QTR524346 QJV524346 PZZ524346 PQD524346 PGH524346 OWL524346 OMP524346 OCT524346 NSX524346 NJB524346 MZF524346 MPJ524346 MFN524346 LVR524346 LLV524346 LBZ524346 KSD524346 KIH524346 JYL524346 JOP524346 JET524346 IUX524346 ILB524346 IBF524346 HRJ524346 HHN524346 GXR524346 GNV524346 GDZ524346 FUD524346 FKH524346 FAL524346 EQP524346 EGT524346 DWX524346 DNB524346 DDF524346 CTJ524346 CJN524346 BZR524346 BPV524346 BFZ524346 AWD524346 AMH524346 ACL524346 SP524346 IT524346 D524346 WVF458810 WLJ458810 WBN458810 VRR458810 VHV458810 UXZ458810 UOD458810 UEH458810 TUL458810 TKP458810 TAT458810 SQX458810 SHB458810 RXF458810 RNJ458810 RDN458810 QTR458810 QJV458810 PZZ458810 PQD458810 PGH458810 OWL458810 OMP458810 OCT458810 NSX458810 NJB458810 MZF458810 MPJ458810 MFN458810 LVR458810 LLV458810 LBZ458810 KSD458810 KIH458810 JYL458810 JOP458810 JET458810 IUX458810 ILB458810 IBF458810 HRJ458810 HHN458810 GXR458810 GNV458810 GDZ458810 FUD458810 FKH458810 FAL458810 EQP458810 EGT458810 DWX458810 DNB458810 DDF458810 CTJ458810 CJN458810 BZR458810 BPV458810 BFZ458810 AWD458810 AMH458810 ACL458810 SP458810 IT458810 D458810 WVF393274 WLJ393274 WBN393274 VRR393274 VHV393274 UXZ393274 UOD393274 UEH393274 TUL393274 TKP393274 TAT393274 SQX393274 SHB393274 RXF393274 RNJ393274 RDN393274 QTR393274 QJV393274 PZZ393274 PQD393274 PGH393274 OWL393274 OMP393274 OCT393274 NSX393274 NJB393274 MZF393274 MPJ393274 MFN393274 LVR393274 LLV393274 LBZ393274 KSD393274 KIH393274 JYL393274 JOP393274 JET393274 IUX393274 ILB393274 IBF393274 HRJ393274 HHN393274 GXR393274 GNV393274 GDZ393274 FUD393274 FKH393274 FAL393274 EQP393274 EGT393274 DWX393274 DNB393274 DDF393274 CTJ393274 CJN393274 BZR393274 BPV393274 BFZ393274 AWD393274 AMH393274 ACL393274 SP393274 IT393274 D393274 WVF327738 WLJ327738 WBN327738 VRR327738 VHV327738 UXZ327738 UOD327738 UEH327738 TUL327738 TKP327738 TAT327738 SQX327738 SHB327738 RXF327738 RNJ327738 RDN327738 QTR327738 QJV327738 PZZ327738 PQD327738 PGH327738 OWL327738 OMP327738 OCT327738 NSX327738 NJB327738 MZF327738 MPJ327738 MFN327738 LVR327738 LLV327738 LBZ327738 KSD327738 KIH327738 JYL327738 JOP327738 JET327738 IUX327738 ILB327738 IBF327738 HRJ327738 HHN327738 GXR327738 GNV327738 GDZ327738 FUD327738 FKH327738 FAL327738 EQP327738 EGT327738 DWX327738 DNB327738 DDF327738 CTJ327738 CJN327738 BZR327738 BPV327738 BFZ327738 AWD327738 AMH327738 ACL327738 SP327738 IT327738 D327738 WVF262202 WLJ262202 WBN262202 VRR262202 VHV262202 UXZ262202 UOD262202 UEH262202 TUL262202 TKP262202 TAT262202 SQX262202 SHB262202 RXF262202 RNJ262202 RDN262202 QTR262202 QJV262202 PZZ262202 PQD262202 PGH262202 OWL262202 OMP262202 OCT262202 NSX262202 NJB262202 MZF262202 MPJ262202 MFN262202 LVR262202 LLV262202 LBZ262202 KSD262202 KIH262202 JYL262202 JOP262202 JET262202 IUX262202 ILB262202 IBF262202 HRJ262202 HHN262202 GXR262202 GNV262202 GDZ262202 FUD262202 FKH262202 FAL262202 EQP262202 EGT262202 DWX262202 DNB262202 DDF262202 CTJ262202 CJN262202 BZR262202 BPV262202 BFZ262202 AWD262202 AMH262202 ACL262202 SP262202 IT262202 D262202 WVF196666 WLJ196666 WBN196666 VRR196666 VHV196666 UXZ196666 UOD196666 UEH196666 TUL196666 TKP196666 TAT196666 SQX196666 SHB196666 RXF196666 RNJ196666 RDN196666 QTR196666 QJV196666 PZZ196666 PQD196666 PGH196666 OWL196666 OMP196666 OCT196666 NSX196666 NJB196666 MZF196666 MPJ196666 MFN196666 LVR196666 LLV196666 LBZ196666 KSD196666 KIH196666 JYL196666 JOP196666 JET196666 IUX196666 ILB196666 IBF196666 HRJ196666 HHN196666 GXR196666 GNV196666 GDZ196666 FUD196666 FKH196666 FAL196666 EQP196666 EGT196666 DWX196666 DNB196666 DDF196666 CTJ196666 CJN196666 BZR196666 BPV196666 BFZ196666 AWD196666 AMH196666 ACL196666 SP196666 IT196666 D196666 WVF131130 WLJ131130 WBN131130 VRR131130 VHV131130 UXZ131130 UOD131130 UEH131130 TUL131130 TKP131130 TAT131130 SQX131130 SHB131130 RXF131130 RNJ131130 RDN131130 QTR131130 QJV131130 PZZ131130 PQD131130 PGH131130 OWL131130 OMP131130 OCT131130 NSX131130 NJB131130 MZF131130 MPJ131130 MFN131130 LVR131130 LLV131130 LBZ131130 KSD131130 KIH131130 JYL131130 JOP131130 JET131130 IUX131130 ILB131130 IBF131130 HRJ131130 HHN131130 GXR131130 GNV131130 GDZ131130 FUD131130 FKH131130 FAL131130 EQP131130 EGT131130 DWX131130 DNB131130 DDF131130 CTJ131130 CJN131130 BZR131130 BPV131130 BFZ131130 AWD131130 AMH131130 ACL131130 SP131130 IT131130 D131130 WVF65594 WLJ65594 WBN65594 VRR65594 VHV65594 UXZ65594 UOD65594 UEH65594 TUL65594 TKP65594 TAT65594 SQX65594 SHB65594 RXF65594 RNJ65594 RDN65594 QTR65594 QJV65594 PZZ65594 PQD65594 PGH65594 OWL65594 OMP65594 OCT65594 NSX65594 NJB65594 MZF65594 MPJ65594 MFN65594 LVR65594 LLV65594 LBZ65594 KSD65594 KIH65594 JYL65594 JOP65594 JET65594 IUX65594 ILB65594 IBF65594 HRJ65594 HHN65594 GXR65594 GNV65594 GDZ65594 FUD65594 FKH65594 FAL65594 EQP65594 EGT65594 DWX65594 DNB65594 DDF65594 CTJ65594 CJN65594 BZR65594 BPV65594 BFZ65594 AWD65594 AMH65594 ACL65594 SP65594 IT65594 D65594 WVF53 WLJ53 WBN53 VRR53 VHV53 UXZ53 UOD53 UEH53 TUL53 TKP53 TAT53 SQX53 SHB53 RXF53 RNJ53 RDN53 QTR53 QJV53 PZZ53 PQD53 PGH53 OWL53 OMP53 OCT53 NSX53 NJB53 MZF53 MPJ53 MFN53 LVR53 LLV53 LBZ53 KSD53 KIH53 JYL53 JOP53 JET53 IUX53 ILB53 IBF53 HRJ53 HHN53 GXR53 GNV53 GDZ53 FUD53 FKH53 FAL53 EQP53 EGT53 DWX53 DNB53 DDF53 CTJ53 CJN53 BZR53 BPV53 BFZ53 AWD53 AMH53 ACL53 SP53 IT53 VHV983104 WVF983065 WLJ983065 WBN983065 VRR983065 VHV983065 UXZ983065 UOD983065 UEH983065 TUL983065 TKP983065 TAT983065 SQX983065 SHB983065 RXF983065 RNJ983065 RDN983065 QTR983065 QJV983065 PZZ983065 PQD983065 PGH983065 OWL983065 OMP983065 OCT983065 NSX983065 NJB983065 MZF983065 MPJ983065 MFN983065 LVR983065 LLV983065 LBZ983065 KSD983065 KIH983065 JYL983065 JOP983065 JET983065 IUX983065 ILB983065 IBF983065 HRJ983065 HHN983065 GXR983065 GNV983065 GDZ983065 FUD983065 FKH983065 FAL983065 EQP983065 EGT983065 DWX983065 DNB983065 DDF983065 CTJ983065 CJN983065 BZR983065 BPV983065 BFZ983065 AWD983065 AMH983065 ACL983065 SP983065 IT983065 D983065 WVF917529 WLJ917529 WBN917529 VRR917529 VHV917529 UXZ917529 UOD917529 UEH917529 TUL917529 TKP917529 TAT917529 SQX917529 SHB917529 RXF917529 RNJ917529 RDN917529 QTR917529 QJV917529 PZZ917529 PQD917529 PGH917529 OWL917529 OMP917529 OCT917529 NSX917529 NJB917529 MZF917529 MPJ917529 MFN917529 LVR917529 LLV917529 LBZ917529 KSD917529 KIH917529 JYL917529 JOP917529 JET917529 IUX917529 ILB917529 IBF917529 HRJ917529 HHN917529 GXR917529 GNV917529 GDZ917529 FUD917529 FKH917529 FAL917529 EQP917529 EGT917529 DWX917529 DNB917529 DDF917529 CTJ917529 CJN917529 BZR917529 BPV917529 BFZ917529 AWD917529 AMH917529 ACL917529 SP917529 IT917529 D917529 WVF851993 WLJ851993 WBN851993 VRR851993 VHV851993 UXZ851993 UOD851993 UEH851993 TUL851993 TKP851993 TAT851993 SQX851993 SHB851993 RXF851993 RNJ851993 RDN851993 QTR851993 QJV851993 PZZ851993 PQD851993 PGH851993 OWL851993 OMP851993 OCT851993 NSX851993 NJB851993 MZF851993 MPJ851993 MFN851993 LVR851993 LLV851993 LBZ851993 KSD851993 KIH851993 JYL851993 JOP851993 JET851993 IUX851993 ILB851993 IBF851993 HRJ851993 HHN851993 GXR851993 GNV851993 GDZ851993 FUD851993 FKH851993 FAL851993 EQP851993 EGT851993 DWX851993 DNB851993 DDF851993 CTJ851993 CJN851993 BZR851993 BPV851993 BFZ851993 AWD851993 AMH851993 ACL851993 SP851993 IT851993 D851993 WVF786457 WLJ786457 WBN786457 VRR786457 VHV786457 UXZ786457 UOD786457 UEH786457 TUL786457 TKP786457 TAT786457 SQX786457 SHB786457 RXF786457 RNJ786457 RDN786457 QTR786457 QJV786457 PZZ786457 PQD786457 PGH786457 OWL786457 OMP786457 OCT786457 NSX786457 NJB786457 MZF786457 MPJ786457 MFN786457 LVR786457 LLV786457 LBZ786457 KSD786457 KIH786457 JYL786457 JOP786457 JET786457 IUX786457 ILB786457 IBF786457 HRJ786457 HHN786457 GXR786457 GNV786457 GDZ786457 FUD786457 FKH786457 FAL786457 EQP786457 EGT786457 DWX786457 DNB786457 DDF786457 CTJ786457 CJN786457 BZR786457 BPV786457 BFZ786457 AWD786457 AMH786457 ACL786457 SP786457 IT786457 D786457 WVF720921 WLJ720921 WBN720921 VRR720921 VHV720921 UXZ720921 UOD720921 UEH720921 TUL720921 TKP720921 TAT720921 SQX720921 SHB720921 RXF720921 RNJ720921 RDN720921 QTR720921 QJV720921 PZZ720921 PQD720921 PGH720921 OWL720921 OMP720921 OCT720921 NSX720921 NJB720921 MZF720921 MPJ720921 MFN720921 LVR720921 LLV720921 LBZ720921 KSD720921 KIH720921 JYL720921 JOP720921 JET720921 IUX720921 ILB720921 IBF720921 HRJ720921 HHN720921 GXR720921 GNV720921 GDZ720921 FUD720921 FKH720921 FAL720921 EQP720921 EGT720921 DWX720921 DNB720921 DDF720921 CTJ720921 CJN720921 BZR720921 BPV720921 BFZ720921 AWD720921 AMH720921 ACL720921 SP720921 IT720921 D720921 WVF655385 WLJ655385 WBN655385 VRR655385 VHV655385 UXZ655385 UOD655385 UEH655385 TUL655385 TKP655385 TAT655385 SQX655385 SHB655385 RXF655385 RNJ655385 RDN655385 QTR655385 QJV655385 PZZ655385 PQD655385 PGH655385 OWL655385 OMP655385 OCT655385 NSX655385 NJB655385 MZF655385 MPJ655385 MFN655385 LVR655385 LLV655385 LBZ655385 KSD655385 KIH655385 JYL655385 JOP655385 JET655385 IUX655385 ILB655385 IBF655385 HRJ655385 HHN655385 GXR655385 GNV655385 GDZ655385 FUD655385 FKH655385 FAL655385 EQP655385 EGT655385 DWX655385 DNB655385 DDF655385 CTJ655385 CJN655385 BZR655385 BPV655385 BFZ655385 AWD655385 AMH655385 ACL655385 SP655385 IT655385 D655385 WVF589849 WLJ589849 WBN589849 VRR589849 VHV589849 UXZ589849 UOD589849 UEH589849 TUL589849 TKP589849 TAT589849 SQX589849 SHB589849 RXF589849 RNJ589849 RDN589849 QTR589849 QJV589849 PZZ589849 PQD589849 PGH589849 OWL589849 OMP589849 OCT589849 NSX589849 NJB589849 MZF589849 MPJ589849 MFN589849 LVR589849 LLV589849 LBZ589849 KSD589849 KIH589849 JYL589849 JOP589849 JET589849 IUX589849 ILB589849 IBF589849 HRJ589849 HHN589849 GXR589849 GNV589849 GDZ589849 FUD589849 FKH589849 FAL589849 EQP589849 EGT589849 DWX589849 DNB589849 DDF589849 CTJ589849 CJN589849 BZR589849 BPV589849 BFZ589849 AWD589849 AMH589849 ACL589849 SP589849 IT589849 D589849 WVF524313 WLJ524313 WBN524313 VRR524313 VHV524313 UXZ524313 UOD524313 UEH524313 TUL524313 TKP524313 TAT524313 SQX524313 SHB524313 RXF524313 RNJ524313 RDN524313 QTR524313 QJV524313 PZZ524313 PQD524313 PGH524313 OWL524313 OMP524313 OCT524313 NSX524313 NJB524313 MZF524313 MPJ524313 MFN524313 LVR524313 LLV524313 LBZ524313 KSD524313 KIH524313 JYL524313 JOP524313 JET524313 IUX524313 ILB524313 IBF524313 HRJ524313 HHN524313 GXR524313 GNV524313 GDZ524313 FUD524313 FKH524313 FAL524313 EQP524313 EGT524313 DWX524313 DNB524313 DDF524313 CTJ524313 CJN524313 BZR524313 BPV524313 BFZ524313 AWD524313 AMH524313 ACL524313 SP524313 IT524313 D524313 WVF458777 WLJ458777 WBN458777 VRR458777 VHV458777 UXZ458777 UOD458777 UEH458777 TUL458777 TKP458777 TAT458777 SQX458777 SHB458777 RXF458777 RNJ458777 RDN458777 QTR458777 QJV458777 PZZ458777 PQD458777 PGH458777 OWL458777 OMP458777 OCT458777 NSX458777 NJB458777 MZF458777 MPJ458777 MFN458777 LVR458777 LLV458777 LBZ458777 KSD458777 KIH458777 JYL458777 JOP458777 JET458777 IUX458777 ILB458777 IBF458777 HRJ458777 HHN458777 GXR458777 GNV458777 GDZ458777 FUD458777 FKH458777 FAL458777 EQP458777 EGT458777 DWX458777 DNB458777 DDF458777 CTJ458777 CJN458777 BZR458777 BPV458777 BFZ458777 AWD458777 AMH458777 ACL458777 SP458777 IT458777 D458777 WVF393241 WLJ393241 WBN393241 VRR393241 VHV393241 UXZ393241 UOD393241 UEH393241 TUL393241 TKP393241 TAT393241 SQX393241 SHB393241 RXF393241 RNJ393241 RDN393241 QTR393241 QJV393241 PZZ393241 PQD393241 PGH393241 OWL393241 OMP393241 OCT393241 NSX393241 NJB393241 MZF393241 MPJ393241 MFN393241 LVR393241 LLV393241 LBZ393241 KSD393241 KIH393241 JYL393241 JOP393241 JET393241 IUX393241 ILB393241 IBF393241 HRJ393241 HHN393241 GXR393241 GNV393241 GDZ393241 FUD393241 FKH393241 FAL393241 EQP393241 EGT393241 DWX393241 DNB393241 DDF393241 CTJ393241 CJN393241 BZR393241 BPV393241 BFZ393241 AWD393241 AMH393241 ACL393241 SP393241 IT393241 D393241 WVF327705 WLJ327705 WBN327705 VRR327705 VHV327705 UXZ327705 UOD327705 UEH327705 TUL327705 TKP327705 TAT327705 SQX327705 SHB327705 RXF327705 RNJ327705 RDN327705 QTR327705 QJV327705 PZZ327705 PQD327705 PGH327705 OWL327705 OMP327705 OCT327705 NSX327705 NJB327705 MZF327705 MPJ327705 MFN327705 LVR327705 LLV327705 LBZ327705 KSD327705 KIH327705 JYL327705 JOP327705 JET327705 IUX327705 ILB327705 IBF327705 HRJ327705 HHN327705 GXR327705 GNV327705 GDZ327705 FUD327705 FKH327705 FAL327705 EQP327705 EGT327705 DWX327705 DNB327705 DDF327705 CTJ327705 CJN327705 BZR327705 BPV327705 BFZ327705 AWD327705 AMH327705 ACL327705 SP327705 IT327705 D327705 WVF262169 WLJ262169 WBN262169 VRR262169 VHV262169 UXZ262169 UOD262169 UEH262169 TUL262169 TKP262169 TAT262169 SQX262169 SHB262169 RXF262169 RNJ262169 RDN262169 QTR262169 QJV262169 PZZ262169 PQD262169 PGH262169 OWL262169 OMP262169 OCT262169 NSX262169 NJB262169 MZF262169 MPJ262169 MFN262169 LVR262169 LLV262169 LBZ262169 KSD262169 KIH262169 JYL262169 JOP262169 JET262169 IUX262169 ILB262169 IBF262169 HRJ262169 HHN262169 GXR262169 GNV262169 GDZ262169 FUD262169 FKH262169 FAL262169 EQP262169 EGT262169 DWX262169 DNB262169 DDF262169 CTJ262169 CJN262169 BZR262169 BPV262169 BFZ262169 AWD262169 AMH262169 ACL262169 SP262169 IT262169 D262169 WVF196633 WLJ196633 WBN196633 VRR196633 VHV196633 UXZ196633 UOD196633 UEH196633 TUL196633 TKP196633 TAT196633 SQX196633 SHB196633 RXF196633 RNJ196633 RDN196633 QTR196633 QJV196633 PZZ196633 PQD196633 PGH196633 OWL196633 OMP196633 OCT196633 NSX196633 NJB196633 MZF196633 MPJ196633 MFN196633 LVR196633 LLV196633 LBZ196633 KSD196633 KIH196633 JYL196633 JOP196633 JET196633 IUX196633 ILB196633 IBF196633 HRJ196633 HHN196633 GXR196633 GNV196633 GDZ196633 FUD196633 FKH196633 FAL196633 EQP196633 EGT196633 DWX196633 DNB196633 DDF196633 CTJ196633 CJN196633 BZR196633 BPV196633 BFZ196633 AWD196633 AMH196633 ACL196633 SP196633 IT196633 D196633 WVF131097 WLJ131097 WBN131097 VRR131097 VHV131097 UXZ131097 UOD131097 UEH131097 TUL131097 TKP131097 TAT131097 SQX131097 SHB131097 RXF131097 RNJ131097 RDN131097 QTR131097 QJV131097 PZZ131097 PQD131097 PGH131097 OWL131097 OMP131097 OCT131097 NSX131097 NJB131097 MZF131097 MPJ131097 MFN131097 LVR131097 LLV131097 LBZ131097 KSD131097 KIH131097 JYL131097 JOP131097 JET131097 IUX131097 ILB131097 IBF131097 HRJ131097 HHN131097 GXR131097 GNV131097 GDZ131097 FUD131097 FKH131097 FAL131097 EQP131097 EGT131097 DWX131097 DNB131097 DDF131097 CTJ131097 CJN131097 BZR131097 BPV131097 BFZ131097 AWD131097 AMH131097 ACL131097 SP131097 IT131097 D131097 WVF65561 WLJ65561 WBN65561 VRR65561 VHV65561 UXZ65561 UOD65561 UEH65561 TUL65561 TKP65561 TAT65561 SQX65561 SHB65561 RXF65561 RNJ65561 RDN65561 QTR65561 QJV65561 PZZ65561 PQD65561 PGH65561 OWL65561 OMP65561 OCT65561 NSX65561 NJB65561 MZF65561 MPJ65561 MFN65561 LVR65561 LLV65561 LBZ65561 KSD65561 KIH65561 JYL65561 JOP65561 JET65561 IUX65561 ILB65561 IBF65561 HRJ65561 HHN65561 GXR65561 GNV65561 GDZ65561 FUD65561 FKH65561 FAL65561 EQP65561 EGT65561 DWX65561 DNB65561 DDF65561 CTJ65561 CJN65561 BZR65561 BPV65561 BFZ65561 AWD65561 AMH65561 ACL65561 SP65561 IT65561 D65561 WVF20 WLJ20 WBN20 VRR20 VHV20 UXZ20 UOD20 UEH20 TUL20 TKP20 TAT20 SQX20 SHB20 RXF20 RNJ20 RDN20 QTR20 QJV20 PZZ20 PQD20 PGH20 OWL20 OMP20 OCT20 NSX20 NJB20 MZF20 MPJ20 MFN20 LVR20 LLV20 LBZ20 KSD20 KIH20 JYL20 JOP20 JET20 IUX20 ILB20 IBF20 HRJ20 HHN20 GXR20 GNV20 GDZ20 FUD20 FKH20 FAL20 EQP20 EGT20 DWX20 DNB20 DDF20 CTJ20 CJN20 BZR20 BPV20 BFZ20 AWD20 AMH20 ACL20 SP20 IT20 UEH983104 WVH983104 WLL983104 WBP983104 VRT983104 VHX983104 UYB983104 UOF983104 UEJ983104 TUN983104 TKR983104 TAV983104 SQZ983104 SHD983104 RXH983104 RNL983104 RDP983104 QTT983104 QJX983104 QAB983104 PQF983104 PGJ983104 OWN983104 OMR983104 OCV983104 NSZ983104 NJD983104 MZH983104 MPL983104 MFP983104 LVT983104 LLX983104 LCB983104 KSF983104 KIJ983104 JYN983104 JOR983104 JEV983104 IUZ983104 ILD983104 IBH983104 HRL983104 HHP983104 GXT983104 GNX983104 GEB983104 FUF983104 FKJ983104 FAN983104 EQR983104 EGV983104 DWZ983104 DND983104 DDH983104 CTL983104 CJP983104 BZT983104 BPX983104 BGB983104 AWF983104 AMJ983104 ACN983104 SR983104 IV983104 F983104 WVH917568 WLL917568 WBP917568 VRT917568 VHX917568 UYB917568 UOF917568 UEJ917568 TUN917568 TKR917568 TAV917568 SQZ917568 SHD917568 RXH917568 RNL917568 RDP917568 QTT917568 QJX917568 QAB917568 PQF917568 PGJ917568 OWN917568 OMR917568 OCV917568 NSZ917568 NJD917568 MZH917568 MPL917568 MFP917568 LVT917568 LLX917568 LCB917568 KSF917568 KIJ917568 JYN917568 JOR917568 JEV917568 IUZ917568 ILD917568 IBH917568 HRL917568 HHP917568 GXT917568 GNX917568 GEB917568 FUF917568 FKJ917568 FAN917568 EQR917568 EGV917568 DWZ917568 DND917568 DDH917568 CTL917568 CJP917568 BZT917568 BPX917568 BGB917568 AWF917568 AMJ917568 ACN917568 SR917568 IV917568 F917568 WVH852032 WLL852032 WBP852032 VRT852032 VHX852032 UYB852032 UOF852032 UEJ852032 TUN852032 TKR852032 TAV852032 SQZ852032 SHD852032 RXH852032 RNL852032 RDP852032 QTT852032 QJX852032 QAB852032 PQF852032 PGJ852032 OWN852032 OMR852032 OCV852032 NSZ852032 NJD852032 MZH852032 MPL852032 MFP852032 LVT852032 LLX852032 LCB852032 KSF852032 KIJ852032 JYN852032 JOR852032 JEV852032 IUZ852032 ILD852032 IBH852032 HRL852032 HHP852032 GXT852032 GNX852032 GEB852032 FUF852032 FKJ852032 FAN852032 EQR852032 EGV852032 DWZ852032 DND852032 DDH852032 CTL852032 CJP852032 BZT852032 BPX852032 BGB852032 AWF852032 AMJ852032 ACN852032 SR852032 IV852032 F852032 WVH786496 WLL786496 WBP786496 VRT786496 VHX786496 UYB786496 UOF786496 UEJ786496 TUN786496 TKR786496 TAV786496 SQZ786496 SHD786496 RXH786496 RNL786496 RDP786496 QTT786496 QJX786496 QAB786496 PQF786496 PGJ786496 OWN786496 OMR786496 OCV786496 NSZ786496 NJD786496 MZH786496 MPL786496 MFP786496 LVT786496 LLX786496 LCB786496 KSF786496 KIJ786496 JYN786496 JOR786496 JEV786496 IUZ786496 ILD786496 IBH786496 HRL786496 HHP786496 GXT786496 GNX786496 GEB786496 FUF786496 FKJ786496 FAN786496 EQR786496 EGV786496 DWZ786496 DND786496 DDH786496 CTL786496 CJP786496 BZT786496 BPX786496 BGB786496 AWF786496 AMJ786496 ACN786496 SR786496 IV786496 F786496 WVH720960 WLL720960 WBP720960 VRT720960 VHX720960 UYB720960 UOF720960 UEJ720960 TUN720960 TKR720960 TAV720960 SQZ720960 SHD720960 RXH720960 RNL720960 RDP720960 QTT720960 QJX720960 QAB720960 PQF720960 PGJ720960 OWN720960 OMR720960 OCV720960 NSZ720960 NJD720960 MZH720960 MPL720960 MFP720960 LVT720960 LLX720960 LCB720960 KSF720960 KIJ720960 JYN720960 JOR720960 JEV720960 IUZ720960 ILD720960 IBH720960 HRL720960 HHP720960 GXT720960 GNX720960 GEB720960 FUF720960 FKJ720960 FAN720960 EQR720960 EGV720960 DWZ720960 DND720960 DDH720960 CTL720960 CJP720960 BZT720960 BPX720960 BGB720960 AWF720960 AMJ720960 ACN720960 SR720960 IV720960 F720960 WVH655424 WLL655424 WBP655424 VRT655424 VHX655424 UYB655424 UOF655424 UEJ655424 TUN655424 TKR655424 TAV655424 SQZ655424 SHD655424 RXH655424 RNL655424 RDP655424 QTT655424 QJX655424 QAB655424 PQF655424 PGJ655424 OWN655424 OMR655424 OCV655424 NSZ655424 NJD655424 MZH655424 MPL655424 MFP655424 LVT655424 LLX655424 LCB655424 KSF655424 KIJ655424 JYN655424 JOR655424 JEV655424 IUZ655424 ILD655424 IBH655424 HRL655424 HHP655424 GXT655424 GNX655424 GEB655424 FUF655424 FKJ655424 FAN655424 EQR655424 EGV655424 DWZ655424 DND655424 DDH655424 CTL655424 CJP655424 BZT655424 BPX655424 BGB655424 AWF655424 AMJ655424 ACN655424 SR655424 IV655424 F655424 WVH589888 WLL589888 WBP589888 VRT589888 VHX589888 UYB589888 UOF589888 UEJ589888 TUN589888 TKR589888 TAV589888 SQZ589888 SHD589888 RXH589888 RNL589888 RDP589888 QTT589888 QJX589888 QAB589888 PQF589888 PGJ589888 OWN589888 OMR589888 OCV589888 NSZ589888 NJD589888 MZH589888 MPL589888 MFP589888 LVT589888 LLX589888 LCB589888 KSF589888 KIJ589888 JYN589888 JOR589888 JEV589888 IUZ589888 ILD589888 IBH589888 HRL589888 HHP589888 GXT589888 GNX589888 GEB589888 FUF589888 FKJ589888 FAN589888 EQR589888 EGV589888 DWZ589888 DND589888 DDH589888 CTL589888 CJP589888 BZT589888 BPX589888 BGB589888 AWF589888 AMJ589888 ACN589888 SR589888 IV589888 F589888 WVH524352 WLL524352 WBP524352 VRT524352 VHX524352 UYB524352 UOF524352 UEJ524352 TUN524352 TKR524352 TAV524352 SQZ524352 SHD524352 RXH524352 RNL524352 RDP524352 QTT524352 QJX524352 QAB524352 PQF524352 PGJ524352 OWN524352 OMR524352 OCV524352 NSZ524352 NJD524352 MZH524352 MPL524352 MFP524352 LVT524352 LLX524352 LCB524352 KSF524352 KIJ524352 JYN524352 JOR524352 JEV524352 IUZ524352 ILD524352 IBH524352 HRL524352 HHP524352 GXT524352 GNX524352 GEB524352 FUF524352 FKJ524352 FAN524352 EQR524352 EGV524352 DWZ524352 DND524352 DDH524352 CTL524352 CJP524352 BZT524352 BPX524352 BGB524352 AWF524352 AMJ524352 ACN524352 SR524352 IV524352 F524352 WVH458816 WLL458816 WBP458816 VRT458816 VHX458816 UYB458816 UOF458816 UEJ458816 TUN458816 TKR458816 TAV458816 SQZ458816 SHD458816 RXH458816 RNL458816 RDP458816 QTT458816 QJX458816 QAB458816 PQF458816 PGJ458816 OWN458816 OMR458816 OCV458816 NSZ458816 NJD458816 MZH458816 MPL458816 MFP458816 LVT458816 LLX458816 LCB458816 KSF458816 KIJ458816 JYN458816 JOR458816 JEV458816 IUZ458816 ILD458816 IBH458816 HRL458816 HHP458816 GXT458816 GNX458816 GEB458816 FUF458816 FKJ458816 FAN458816 EQR458816 EGV458816 DWZ458816 DND458816 DDH458816 CTL458816 CJP458816 BZT458816 BPX458816 BGB458816 AWF458816 AMJ458816 ACN458816 SR458816 IV458816 F458816 WVH393280 WLL393280 WBP393280 VRT393280 VHX393280 UYB393280 UOF393280 UEJ393280 TUN393280 TKR393280 TAV393280 SQZ393280 SHD393280 RXH393280 RNL393280 RDP393280 QTT393280 QJX393280 QAB393280 PQF393280 PGJ393280 OWN393280 OMR393280 OCV393280 NSZ393280 NJD393280 MZH393280 MPL393280 MFP393280 LVT393280 LLX393280 LCB393280 KSF393280 KIJ393280 JYN393280 JOR393280 JEV393280 IUZ393280 ILD393280 IBH393280 HRL393280 HHP393280 GXT393280 GNX393280 GEB393280 FUF393280 FKJ393280 FAN393280 EQR393280 EGV393280 DWZ393280 DND393280 DDH393280 CTL393280 CJP393280 BZT393280 BPX393280 BGB393280 AWF393280 AMJ393280 ACN393280 SR393280 IV393280 F393280 WVH327744 WLL327744 WBP327744 VRT327744 VHX327744 UYB327744 UOF327744 UEJ327744 TUN327744 TKR327744 TAV327744 SQZ327744 SHD327744 RXH327744 RNL327744 RDP327744 QTT327744 QJX327744 QAB327744 PQF327744 PGJ327744 OWN327744 OMR327744 OCV327744 NSZ327744 NJD327744 MZH327744 MPL327744 MFP327744 LVT327744 LLX327744 LCB327744 KSF327744 KIJ327744 JYN327744 JOR327744 JEV327744 IUZ327744 ILD327744 IBH327744 HRL327744 HHP327744 GXT327744 GNX327744 GEB327744 FUF327744 FKJ327744 FAN327744 EQR327744 EGV327744 DWZ327744 DND327744 DDH327744 CTL327744 CJP327744 BZT327744 BPX327744 BGB327744 AWF327744 AMJ327744 ACN327744 SR327744 IV327744 F327744 WVH262208 WLL262208 WBP262208 VRT262208 VHX262208 UYB262208 UOF262208 UEJ262208 TUN262208 TKR262208 TAV262208 SQZ262208 SHD262208 RXH262208 RNL262208 RDP262208 QTT262208 QJX262208 QAB262208 PQF262208 PGJ262208 OWN262208 OMR262208 OCV262208 NSZ262208 NJD262208 MZH262208 MPL262208 MFP262208 LVT262208 LLX262208 LCB262208 KSF262208 KIJ262208 JYN262208 JOR262208 JEV262208 IUZ262208 ILD262208 IBH262208 HRL262208 HHP262208 GXT262208 GNX262208 GEB262208 FUF262208 FKJ262208 FAN262208 EQR262208 EGV262208 DWZ262208 DND262208 DDH262208 CTL262208 CJP262208 BZT262208 BPX262208 BGB262208 AWF262208 AMJ262208 ACN262208 SR262208 IV262208 F262208 WVH196672 WLL196672 WBP196672 VRT196672 VHX196672 UYB196672 UOF196672 UEJ196672 TUN196672 TKR196672 TAV196672 SQZ196672 SHD196672 RXH196672 RNL196672 RDP196672 QTT196672 QJX196672 QAB196672 PQF196672 PGJ196672 OWN196672 OMR196672 OCV196672 NSZ196672 NJD196672 MZH196672 MPL196672 MFP196672 LVT196672 LLX196672 LCB196672 KSF196672 KIJ196672 JYN196672 JOR196672 JEV196672 IUZ196672 ILD196672 IBH196672 HRL196672 HHP196672 GXT196672 GNX196672 GEB196672 FUF196672 FKJ196672 FAN196672 EQR196672 EGV196672 DWZ196672 DND196672 DDH196672 CTL196672 CJP196672 BZT196672 BPX196672 BGB196672 AWF196672 AMJ196672 ACN196672 SR196672 IV196672 F196672 WVH131136 WLL131136 WBP131136 VRT131136 VHX131136 UYB131136 UOF131136 UEJ131136 TUN131136 TKR131136 TAV131136 SQZ131136 SHD131136 RXH131136 RNL131136 RDP131136 QTT131136 QJX131136 QAB131136 PQF131136 PGJ131136 OWN131136 OMR131136 OCV131136 NSZ131136 NJD131136 MZH131136 MPL131136 MFP131136 LVT131136 LLX131136 LCB131136 KSF131136 KIJ131136 JYN131136 JOR131136 JEV131136 IUZ131136 ILD131136 IBH131136 HRL131136 HHP131136 GXT131136 GNX131136 GEB131136 FUF131136 FKJ131136 FAN131136 EQR131136 EGV131136 DWZ131136 DND131136 DDH131136 CTL131136 CJP131136 BZT131136 BPX131136 BGB131136 AWF131136 AMJ131136 ACN131136 SR131136 IV131136 F131136 WVH65600 WLL65600 WBP65600 VRT65600 VHX65600 UYB65600 UOF65600 UEJ65600 TUN65600 TKR65600 TAV65600 SQZ65600 SHD65600 RXH65600 RNL65600 RDP65600 QTT65600 QJX65600 QAB65600 PQF65600 PGJ65600 OWN65600 OMR65600 OCV65600 NSZ65600 NJD65600 MZH65600 MPL65600 MFP65600 LVT65600 LLX65600 LCB65600 KSF65600 KIJ65600 JYN65600 JOR65600 JEV65600 IUZ65600 ILD65600 IBH65600 HRL65600 HHP65600 GXT65600 GNX65600 GEB65600 FUF65600 FKJ65600 FAN65600 EQR65600 EGV65600 DWZ65600 DND65600 DDH65600 CTL65600 CJP65600 BZT65600 BPX65600 BGB65600 AWF65600 AMJ65600 ACN65600 SR65600 IV65600 F65600 WVH59 WLL59 WBP59 VRT59 VHX59 UYB59 UOF59 UEJ59 TUN59 TKR59 TAV59 SQZ59 SHD59 RXH59 RNL59 RDP59 QTT59 QJX59 QAB59 PQF59 PGJ59 OWN59 OMR59 OCV59 NSZ59 NJD59 MZH59 MPL59 MFP59 LVT59 LLX59 LCB59 KSF59 KIJ59 JYN59 JOR59 JEV59 IUZ59 ILD59 IBH59 HRL59 HHP59 GXT59 GNX59 GEB59 FUF59 FKJ59 FAN59 EQR59 EGV59 DWZ59 DND59 DDH59 CTL59 CJP59 BZT59 BPX59 BGB59 AWF59 AMJ59 ACN59 SR59 IV59 WVF983155 WLJ983155 WBN983155 VRR983155 VHV983155 UXZ983155 UOD983155 UEH983155 TUL983155 TKP983155 TAT983155 SQX983155 SHB983155 RXF983155 RNJ983155 RDN983155 QTR983155 QJV983155 PZZ983155 PQD983155 PGH983155 OWL983155 OMP983155 OCT983155 NSX983155 NJB983155 MZF983155 MPJ983155 MFN983155 LVR983155 LLV983155 LBZ983155 KSD983155 KIH983155 JYL983155 JOP983155 JET983155 IUX983155 ILB983155 IBF983155 HRJ983155 HHN983155 GXR983155 GNV983155 GDZ983155 FUD983155 FKH983155 FAL983155 EQP983155 EGT983155 DWX983155 DNB983155 DDF983155 CTJ983155 CJN983155 BZR983155 BPV983155 BFZ983155 AWD983155 AMH983155 ACL983155 SP983155 IT983155 D983155 WVF917619 WLJ917619 WBN917619 VRR917619 VHV917619 UXZ917619 UOD917619 UEH917619 TUL917619 TKP917619 TAT917619 SQX917619 SHB917619 RXF917619 RNJ917619 RDN917619 QTR917619 QJV917619 PZZ917619 PQD917619 PGH917619 OWL917619 OMP917619 OCT917619 NSX917619 NJB917619 MZF917619 MPJ917619 MFN917619 LVR917619 LLV917619 LBZ917619 KSD917619 KIH917619 JYL917619 JOP917619 JET917619 IUX917619 ILB917619 IBF917619 HRJ917619 HHN917619 GXR917619 GNV917619 GDZ917619 FUD917619 FKH917619 FAL917619 EQP917619 EGT917619 DWX917619 DNB917619 DDF917619 CTJ917619 CJN917619 BZR917619 BPV917619 BFZ917619 AWD917619 AMH917619 ACL917619 SP917619 IT917619 D917619 WVF852083 WLJ852083 WBN852083 VRR852083 VHV852083 UXZ852083 UOD852083 UEH852083 TUL852083 TKP852083 TAT852083 SQX852083 SHB852083 RXF852083 RNJ852083 RDN852083 QTR852083 QJV852083 PZZ852083 PQD852083 PGH852083 OWL852083 OMP852083 OCT852083 NSX852083 NJB852083 MZF852083 MPJ852083 MFN852083 LVR852083 LLV852083 LBZ852083 KSD852083 KIH852083 JYL852083 JOP852083 JET852083 IUX852083 ILB852083 IBF852083 HRJ852083 HHN852083 GXR852083 GNV852083 GDZ852083 FUD852083 FKH852083 FAL852083 EQP852083 EGT852083 DWX852083 DNB852083 DDF852083 CTJ852083 CJN852083 BZR852083 BPV852083 BFZ852083 AWD852083 AMH852083 ACL852083 SP852083 IT852083 D852083 WVF786547 WLJ786547 WBN786547 VRR786547 VHV786547 UXZ786547 UOD786547 UEH786547 TUL786547 TKP786547 TAT786547 SQX786547 SHB786547 RXF786547 RNJ786547 RDN786547 QTR786547 QJV786547 PZZ786547 PQD786547 PGH786547 OWL786547 OMP786547 OCT786547 NSX786547 NJB786547 MZF786547 MPJ786547 MFN786547 LVR786547 LLV786547 LBZ786547 KSD786547 KIH786547 JYL786547 JOP786547 JET786547 IUX786547 ILB786547 IBF786547 HRJ786547 HHN786547 GXR786547 GNV786547 GDZ786547 FUD786547 FKH786547 FAL786547 EQP786547 EGT786547 DWX786547 DNB786547 DDF786547 CTJ786547 CJN786547 BZR786547 BPV786547 BFZ786547 AWD786547 AMH786547 ACL786547 SP786547 IT786547 D786547 WVF721011 WLJ721011 WBN721011 VRR721011 VHV721011 UXZ721011 UOD721011 UEH721011 TUL721011 TKP721011 TAT721011 SQX721011 SHB721011 RXF721011 RNJ721011 RDN721011 QTR721011 QJV721011 PZZ721011 PQD721011 PGH721011 OWL721011 OMP721011 OCT721011 NSX721011 NJB721011 MZF721011 MPJ721011 MFN721011 LVR721011 LLV721011 LBZ721011 KSD721011 KIH721011 JYL721011 JOP721011 JET721011 IUX721011 ILB721011 IBF721011 HRJ721011 HHN721011 GXR721011 GNV721011 GDZ721011 FUD721011 FKH721011 FAL721011 EQP721011 EGT721011 DWX721011 DNB721011 DDF721011 CTJ721011 CJN721011 BZR721011 BPV721011 BFZ721011 AWD721011 AMH721011 ACL721011 SP721011 IT721011 D721011 WVF655475 WLJ655475 WBN655475 VRR655475 VHV655475 UXZ655475 UOD655475 UEH655475 TUL655475 TKP655475 TAT655475 SQX655475 SHB655475 RXF655475 RNJ655475 RDN655475 QTR655475 QJV655475 PZZ655475 PQD655475 PGH655475 OWL655475 OMP655475 OCT655475 NSX655475 NJB655475 MZF655475 MPJ655475 MFN655475 LVR655475 LLV655475 LBZ655475 KSD655475 KIH655475 JYL655475 JOP655475 JET655475 IUX655475 ILB655475 IBF655475 HRJ655475 HHN655475 GXR655475 GNV655475 GDZ655475 FUD655475 FKH655475 FAL655475 EQP655475 EGT655475 DWX655475 DNB655475 DDF655475 CTJ655475 CJN655475 BZR655475 BPV655475 BFZ655475 AWD655475 AMH655475 ACL655475 SP655475 IT655475 D655475 WVF589939 WLJ589939 WBN589939 VRR589939 VHV589939 UXZ589939 UOD589939 UEH589939 TUL589939 TKP589939 TAT589939 SQX589939 SHB589939 RXF589939 RNJ589939 RDN589939 QTR589939 QJV589939 PZZ589939 PQD589939 PGH589939 OWL589939 OMP589939 OCT589939 NSX589939 NJB589939 MZF589939 MPJ589939 MFN589939 LVR589939 LLV589939 LBZ589939 KSD589939 KIH589939 JYL589939 JOP589939 JET589939 IUX589939 ILB589939 IBF589939 HRJ589939 HHN589939 GXR589939 GNV589939 GDZ589939 FUD589939 FKH589939 FAL589939 EQP589939 EGT589939 DWX589939 DNB589939 DDF589939 CTJ589939 CJN589939 BZR589939 BPV589939 BFZ589939 AWD589939 AMH589939 ACL589939 SP589939 IT589939 D589939 WVF524403 WLJ524403 WBN524403 VRR524403 VHV524403 UXZ524403 UOD524403 UEH524403 TUL524403 TKP524403 TAT524403 SQX524403 SHB524403 RXF524403 RNJ524403 RDN524403 QTR524403 QJV524403 PZZ524403 PQD524403 PGH524403 OWL524403 OMP524403 OCT524403 NSX524403 NJB524403 MZF524403 MPJ524403 MFN524403 LVR524403 LLV524403 LBZ524403 KSD524403 KIH524403 JYL524403 JOP524403 JET524403 IUX524403 ILB524403 IBF524403 HRJ524403 HHN524403 GXR524403 GNV524403 GDZ524403 FUD524403 FKH524403 FAL524403 EQP524403 EGT524403 DWX524403 DNB524403 DDF524403 CTJ524403 CJN524403 BZR524403 BPV524403 BFZ524403 AWD524403 AMH524403 ACL524403 SP524403 IT524403 D524403 WVF458867 WLJ458867 WBN458867 VRR458867 VHV458867 UXZ458867 UOD458867 UEH458867 TUL458867 TKP458867 TAT458867 SQX458867 SHB458867 RXF458867 RNJ458867 RDN458867 QTR458867 QJV458867 PZZ458867 PQD458867 PGH458867 OWL458867 OMP458867 OCT458867 NSX458867 NJB458867 MZF458867 MPJ458867 MFN458867 LVR458867 LLV458867 LBZ458867 KSD458867 KIH458867 JYL458867 JOP458867 JET458867 IUX458867 ILB458867 IBF458867 HRJ458867 HHN458867 GXR458867 GNV458867 GDZ458867 FUD458867 FKH458867 FAL458867 EQP458867 EGT458867 DWX458867 DNB458867 DDF458867 CTJ458867 CJN458867 BZR458867 BPV458867 BFZ458867 AWD458867 AMH458867 ACL458867 SP458867 IT458867 D458867 WVF393331 WLJ393331 WBN393331 VRR393331 VHV393331 UXZ393331 UOD393331 UEH393331 TUL393331 TKP393331 TAT393331 SQX393331 SHB393331 RXF393331 RNJ393331 RDN393331 QTR393331 QJV393331 PZZ393331 PQD393331 PGH393331 OWL393331 OMP393331 OCT393331 NSX393331 NJB393331 MZF393331 MPJ393331 MFN393331 LVR393331 LLV393331 LBZ393331 KSD393331 KIH393331 JYL393331 JOP393331 JET393331 IUX393331 ILB393331 IBF393331 HRJ393331 HHN393331 GXR393331 GNV393331 GDZ393331 FUD393331 FKH393331 FAL393331 EQP393331 EGT393331 DWX393331 DNB393331 DDF393331 CTJ393331 CJN393331 BZR393331 BPV393331 BFZ393331 AWD393331 AMH393331 ACL393331 SP393331 IT393331 D393331 WVF327795 WLJ327795 WBN327795 VRR327795 VHV327795 UXZ327795 UOD327795 UEH327795 TUL327795 TKP327795 TAT327795 SQX327795 SHB327795 RXF327795 RNJ327795 RDN327795 QTR327795 QJV327795 PZZ327795 PQD327795 PGH327795 OWL327795 OMP327795 OCT327795 NSX327795 NJB327795 MZF327795 MPJ327795 MFN327795 LVR327795 LLV327795 LBZ327795 KSD327795 KIH327795 JYL327795 JOP327795 JET327795 IUX327795 ILB327795 IBF327795 HRJ327795 HHN327795 GXR327795 GNV327795 GDZ327795 FUD327795 FKH327795 FAL327795 EQP327795 EGT327795 DWX327795 DNB327795 DDF327795 CTJ327795 CJN327795 BZR327795 BPV327795 BFZ327795 AWD327795 AMH327795 ACL327795 SP327795 IT327795 D327795 WVF262259 WLJ262259 WBN262259 VRR262259 VHV262259 UXZ262259 UOD262259 UEH262259 TUL262259 TKP262259 TAT262259 SQX262259 SHB262259 RXF262259 RNJ262259 RDN262259 QTR262259 QJV262259 PZZ262259 PQD262259 PGH262259 OWL262259 OMP262259 OCT262259 NSX262259 NJB262259 MZF262259 MPJ262259 MFN262259 LVR262259 LLV262259 LBZ262259 KSD262259 KIH262259 JYL262259 JOP262259 JET262259 IUX262259 ILB262259 IBF262259 HRJ262259 HHN262259 GXR262259 GNV262259 GDZ262259 FUD262259 FKH262259 FAL262259 EQP262259 EGT262259 DWX262259 DNB262259 DDF262259 CTJ262259 CJN262259 BZR262259 BPV262259 BFZ262259 AWD262259 AMH262259 ACL262259 SP262259 IT262259 D262259 WVF196723 WLJ196723 WBN196723 VRR196723 VHV196723 UXZ196723 UOD196723 UEH196723 TUL196723 TKP196723 TAT196723 SQX196723 SHB196723 RXF196723 RNJ196723 RDN196723 QTR196723 QJV196723 PZZ196723 PQD196723 PGH196723 OWL196723 OMP196723 OCT196723 NSX196723 NJB196723 MZF196723 MPJ196723 MFN196723 LVR196723 LLV196723 LBZ196723 KSD196723 KIH196723 JYL196723 JOP196723 JET196723 IUX196723 ILB196723 IBF196723 HRJ196723 HHN196723 GXR196723 GNV196723 GDZ196723 FUD196723 FKH196723 FAL196723 EQP196723 EGT196723 DWX196723 DNB196723 DDF196723 CTJ196723 CJN196723 BZR196723 BPV196723 BFZ196723 AWD196723 AMH196723 ACL196723 SP196723 IT196723 D196723 WVF131187 WLJ131187 WBN131187 VRR131187 VHV131187 UXZ131187 UOD131187 UEH131187 TUL131187 TKP131187 TAT131187 SQX131187 SHB131187 RXF131187 RNJ131187 RDN131187 QTR131187 QJV131187 PZZ131187 PQD131187 PGH131187 OWL131187 OMP131187 OCT131187 NSX131187 NJB131187 MZF131187 MPJ131187 MFN131187 LVR131187 LLV131187 LBZ131187 KSD131187 KIH131187 JYL131187 JOP131187 JET131187 IUX131187 ILB131187 IBF131187 HRJ131187 HHN131187 GXR131187 GNV131187 GDZ131187 FUD131187 FKH131187 FAL131187 EQP131187 EGT131187 DWX131187 DNB131187 DDF131187 CTJ131187 CJN131187 BZR131187 BPV131187 BFZ131187 AWD131187 AMH131187 ACL131187 SP131187 IT131187 D131187 WVF65651 WLJ65651 WBN65651 VRR65651 VHV65651 UXZ65651 UOD65651 UEH65651 TUL65651 TKP65651 TAT65651 SQX65651 SHB65651 RXF65651 RNJ65651 RDN65651 QTR65651 QJV65651 PZZ65651 PQD65651 PGH65651 OWL65651 OMP65651 OCT65651 NSX65651 NJB65651 MZF65651 MPJ65651 MFN65651 LVR65651 LLV65651 LBZ65651 KSD65651 KIH65651 JYL65651 JOP65651 JET65651 IUX65651 ILB65651 IBF65651 HRJ65651 HHN65651 GXR65651 GNV65651 GDZ65651 FUD65651 FKH65651 FAL65651 EQP65651 EGT65651 DWX65651 DNB65651 DDF65651 CTJ65651 CJN65651 BZR65651 BPV65651 BFZ65651 AWD65651 AMH65651 ACL65651 SP65651 IT65651 D65651 WVF110 WLJ110 WBN110 VRR110 VHV110 UXZ110 UOD110 UEH110 TUL110 TKP110 TAT110 SQX110 SHB110 RXF110 RNJ110 RDN110 QTR110 QJV110 PZZ110 PQD110 PGH110 OWL110 OMP110 OCT110 NSX110 NJB110 MZF110 MPJ110 MFN110 LVR110 LLV110 LBZ110 KSD110 KIH110 JYL110 JOP110 JET110 IUX110 ILB110 IBF110 HRJ110 HHN110 GXR110 GNV110 GDZ110 FUD110 FKH110 FAL110 EQP110 EGT110 DWX110 DNB110 DDF110 CTJ110 CJN110 BZR110 BPV110 BFZ110 AWD110 AMH110 ACL110 SP110 IT110 WVF983157 WLJ983157 WBN983157 VRR983157 VHV983157 UXZ983157 UOD983157 UEH983157 TUL983157 TKP983157 TAT983157 SQX983157 SHB983157 RXF983157 RNJ983157 RDN983157 QTR983157 QJV983157 PZZ983157 PQD983157 PGH983157 OWL983157 OMP983157 OCT983157 NSX983157 NJB983157 MZF983157 MPJ983157 MFN983157 LVR983157 LLV983157 LBZ983157 KSD983157 KIH983157 JYL983157 JOP983157 JET983157 IUX983157 ILB983157 IBF983157 HRJ983157 HHN983157 GXR983157 GNV983157 GDZ983157 FUD983157 FKH983157 FAL983157 EQP983157 EGT983157 DWX983157 DNB983157 DDF983157 CTJ983157 CJN983157 BZR983157 BPV983157 BFZ983157 AWD983157 AMH983157 ACL983157 SP983157 IT983157 D983157 WVF917621 WLJ917621 WBN917621 VRR917621 VHV917621 UXZ917621 UOD917621 UEH917621 TUL917621 TKP917621 TAT917621 SQX917621 SHB917621 RXF917621 RNJ917621 RDN917621 QTR917621 QJV917621 PZZ917621 PQD917621 PGH917621 OWL917621 OMP917621 OCT917621 NSX917621 NJB917621 MZF917621 MPJ917621 MFN917621 LVR917621 LLV917621 LBZ917621 KSD917621 KIH917621 JYL917621 JOP917621 JET917621 IUX917621 ILB917621 IBF917621 HRJ917621 HHN917621 GXR917621 GNV917621 GDZ917621 FUD917621 FKH917621 FAL917621 EQP917621 EGT917621 DWX917621 DNB917621 DDF917621 CTJ917621 CJN917621 BZR917621 BPV917621 BFZ917621 AWD917621 AMH917621 ACL917621 SP917621 IT917621 D917621 WVF852085 WLJ852085 WBN852085 VRR852085 VHV852085 UXZ852085 UOD852085 UEH852085 TUL852085 TKP852085 TAT852085 SQX852085 SHB852085 RXF852085 RNJ852085 RDN852085 QTR852085 QJV852085 PZZ852085 PQD852085 PGH852085 OWL852085 OMP852085 OCT852085 NSX852085 NJB852085 MZF852085 MPJ852085 MFN852085 LVR852085 LLV852085 LBZ852085 KSD852085 KIH852085 JYL852085 JOP852085 JET852085 IUX852085 ILB852085 IBF852085 HRJ852085 HHN852085 GXR852085 GNV852085 GDZ852085 FUD852085 FKH852085 FAL852085 EQP852085 EGT852085 DWX852085 DNB852085 DDF852085 CTJ852085 CJN852085 BZR852085 BPV852085 BFZ852085 AWD852085 AMH852085 ACL852085 SP852085 IT852085 D852085 WVF786549 WLJ786549 WBN786549 VRR786549 VHV786549 UXZ786549 UOD786549 UEH786549 TUL786549 TKP786549 TAT786549 SQX786549 SHB786549 RXF786549 RNJ786549 RDN786549 QTR786549 QJV786549 PZZ786549 PQD786549 PGH786549 OWL786549 OMP786549 OCT786549 NSX786549 NJB786549 MZF786549 MPJ786549 MFN786549 LVR786549 LLV786549 LBZ786549 KSD786549 KIH786549 JYL786549 JOP786549 JET786549 IUX786549 ILB786549 IBF786549 HRJ786549 HHN786549 GXR786549 GNV786549 GDZ786549 FUD786549 FKH786549 FAL786549 EQP786549 EGT786549 DWX786549 DNB786549 DDF786549 CTJ786549 CJN786549 BZR786549 BPV786549 BFZ786549 AWD786549 AMH786549 ACL786549 SP786549 IT786549 D786549 WVF721013 WLJ721013 WBN721013 VRR721013 VHV721013 UXZ721013 UOD721013 UEH721013 TUL721013 TKP721013 TAT721013 SQX721013 SHB721013 RXF721013 RNJ721013 RDN721013 QTR721013 QJV721013 PZZ721013 PQD721013 PGH721013 OWL721013 OMP721013 OCT721013 NSX721013 NJB721013 MZF721013 MPJ721013 MFN721013 LVR721013 LLV721013 LBZ721013 KSD721013 KIH721013 JYL721013 JOP721013 JET721013 IUX721013 ILB721013 IBF721013 HRJ721013 HHN721013 GXR721013 GNV721013 GDZ721013 FUD721013 FKH721013 FAL721013 EQP721013 EGT721013 DWX721013 DNB721013 DDF721013 CTJ721013 CJN721013 BZR721013 BPV721013 BFZ721013 AWD721013 AMH721013 ACL721013 SP721013 IT721013 D721013 WVF655477 WLJ655477 WBN655477 VRR655477 VHV655477 UXZ655477 UOD655477 UEH655477 TUL655477 TKP655477 TAT655477 SQX655477 SHB655477 RXF655477 RNJ655477 RDN655477 QTR655477 QJV655477 PZZ655477 PQD655477 PGH655477 OWL655477 OMP655477 OCT655477 NSX655477 NJB655477 MZF655477 MPJ655477 MFN655477 LVR655477 LLV655477 LBZ655477 KSD655477 KIH655477 JYL655477 JOP655477 JET655477 IUX655477 ILB655477 IBF655477 HRJ655477 HHN655477 GXR655477 GNV655477 GDZ655477 FUD655477 FKH655477 FAL655477 EQP655477 EGT655477 DWX655477 DNB655477 DDF655477 CTJ655477 CJN655477 BZR655477 BPV655477 BFZ655477 AWD655477 AMH655477 ACL655477 SP655477 IT655477 D655477 WVF589941 WLJ589941 WBN589941 VRR589941 VHV589941 UXZ589941 UOD589941 UEH589941 TUL589941 TKP589941 TAT589941 SQX589941 SHB589941 RXF589941 RNJ589941 RDN589941 QTR589941 QJV589941 PZZ589941 PQD589941 PGH589941 OWL589941 OMP589941 OCT589941 NSX589941 NJB589941 MZF589941 MPJ589941 MFN589941 LVR589941 LLV589941 LBZ589941 KSD589941 KIH589941 JYL589941 JOP589941 JET589941 IUX589941 ILB589941 IBF589941 HRJ589941 HHN589941 GXR589941 GNV589941 GDZ589941 FUD589941 FKH589941 FAL589941 EQP589941 EGT589941 DWX589941 DNB589941 DDF589941 CTJ589941 CJN589941 BZR589941 BPV589941 BFZ589941 AWD589941 AMH589941 ACL589941 SP589941 IT589941 D589941 WVF524405 WLJ524405 WBN524405 VRR524405 VHV524405 UXZ524405 UOD524405 UEH524405 TUL524405 TKP524405 TAT524405 SQX524405 SHB524405 RXF524405 RNJ524405 RDN524405 QTR524405 QJV524405 PZZ524405 PQD524405 PGH524405 OWL524405 OMP524405 OCT524405 NSX524405 NJB524405 MZF524405 MPJ524405 MFN524405 LVR524405 LLV524405 LBZ524405 KSD524405 KIH524405 JYL524405 JOP524405 JET524405 IUX524405 ILB524405 IBF524405 HRJ524405 HHN524405 GXR524405 GNV524405 GDZ524405 FUD524405 FKH524405 FAL524405 EQP524405 EGT524405 DWX524405 DNB524405 DDF524405 CTJ524405 CJN524405 BZR524405 BPV524405 BFZ524405 AWD524405 AMH524405 ACL524405 SP524405 IT524405 D524405 WVF458869 WLJ458869 WBN458869 VRR458869 VHV458869 UXZ458869 UOD458869 UEH458869 TUL458869 TKP458869 TAT458869 SQX458869 SHB458869 RXF458869 RNJ458869 RDN458869 QTR458869 QJV458869 PZZ458869 PQD458869 PGH458869 OWL458869 OMP458869 OCT458869 NSX458869 NJB458869 MZF458869 MPJ458869 MFN458869 LVR458869 LLV458869 LBZ458869 KSD458869 KIH458869 JYL458869 JOP458869 JET458869 IUX458869 ILB458869 IBF458869 HRJ458869 HHN458869 GXR458869 GNV458869 GDZ458869 FUD458869 FKH458869 FAL458869 EQP458869 EGT458869 DWX458869 DNB458869 DDF458869 CTJ458869 CJN458869 BZR458869 BPV458869 BFZ458869 AWD458869 AMH458869 ACL458869 SP458869 IT458869 D458869 WVF393333 WLJ393333 WBN393333 VRR393333 VHV393333 UXZ393333 UOD393333 UEH393333 TUL393333 TKP393333 TAT393333 SQX393333 SHB393333 RXF393333 RNJ393333 RDN393333 QTR393333 QJV393333 PZZ393333 PQD393333 PGH393333 OWL393333 OMP393333 OCT393333 NSX393333 NJB393333 MZF393333 MPJ393333 MFN393333 LVR393333 LLV393333 LBZ393333 KSD393333 KIH393333 JYL393333 JOP393333 JET393333 IUX393333 ILB393333 IBF393333 HRJ393333 HHN393333 GXR393333 GNV393333 GDZ393333 FUD393333 FKH393333 FAL393333 EQP393333 EGT393333 DWX393333 DNB393333 DDF393333 CTJ393333 CJN393333 BZR393333 BPV393333 BFZ393333 AWD393333 AMH393333 ACL393333 SP393333 IT393333 D393333 WVF327797 WLJ327797 WBN327797 VRR327797 VHV327797 UXZ327797 UOD327797 UEH327797 TUL327797 TKP327797 TAT327797 SQX327797 SHB327797 RXF327797 RNJ327797 RDN327797 QTR327797 QJV327797 PZZ327797 PQD327797 PGH327797 OWL327797 OMP327797 OCT327797 NSX327797 NJB327797 MZF327797 MPJ327797 MFN327797 LVR327797 LLV327797 LBZ327797 KSD327797 KIH327797 JYL327797 JOP327797 JET327797 IUX327797 ILB327797 IBF327797 HRJ327797 HHN327797 GXR327797 GNV327797 GDZ327797 FUD327797 FKH327797 FAL327797 EQP327797 EGT327797 DWX327797 DNB327797 DDF327797 CTJ327797 CJN327797 BZR327797 BPV327797 BFZ327797 AWD327797 AMH327797 ACL327797 SP327797 IT327797 D327797 WVF262261 WLJ262261 WBN262261 VRR262261 VHV262261 UXZ262261 UOD262261 UEH262261 TUL262261 TKP262261 TAT262261 SQX262261 SHB262261 RXF262261 RNJ262261 RDN262261 QTR262261 QJV262261 PZZ262261 PQD262261 PGH262261 OWL262261 OMP262261 OCT262261 NSX262261 NJB262261 MZF262261 MPJ262261 MFN262261 LVR262261 LLV262261 LBZ262261 KSD262261 KIH262261 JYL262261 JOP262261 JET262261 IUX262261 ILB262261 IBF262261 HRJ262261 HHN262261 GXR262261 GNV262261 GDZ262261 FUD262261 FKH262261 FAL262261 EQP262261 EGT262261 DWX262261 DNB262261 DDF262261 CTJ262261 CJN262261 BZR262261 BPV262261 BFZ262261 AWD262261 AMH262261 ACL262261 SP262261 IT262261 D262261 WVF196725 WLJ196725 WBN196725 VRR196725 VHV196725 UXZ196725 UOD196725 UEH196725 TUL196725 TKP196725 TAT196725 SQX196725 SHB196725 RXF196725 RNJ196725 RDN196725 QTR196725 QJV196725 PZZ196725 PQD196725 PGH196725 OWL196725 OMP196725 OCT196725 NSX196725 NJB196725 MZF196725 MPJ196725 MFN196725 LVR196725 LLV196725 LBZ196725 KSD196725 KIH196725 JYL196725 JOP196725 JET196725 IUX196725 ILB196725 IBF196725 HRJ196725 HHN196725 GXR196725 GNV196725 GDZ196725 FUD196725 FKH196725 FAL196725 EQP196725 EGT196725 DWX196725 DNB196725 DDF196725 CTJ196725 CJN196725 BZR196725 BPV196725 BFZ196725 AWD196725 AMH196725 ACL196725 SP196725 IT196725 D196725 WVF131189 WLJ131189 WBN131189 VRR131189 VHV131189 UXZ131189 UOD131189 UEH131189 TUL131189 TKP131189 TAT131189 SQX131189 SHB131189 RXF131189 RNJ131189 RDN131189 QTR131189 QJV131189 PZZ131189 PQD131189 PGH131189 OWL131189 OMP131189 OCT131189 NSX131189 NJB131189 MZF131189 MPJ131189 MFN131189 LVR131189 LLV131189 LBZ131189 KSD131189 KIH131189 JYL131189 JOP131189 JET131189 IUX131189 ILB131189 IBF131189 HRJ131189 HHN131189 GXR131189 GNV131189 GDZ131189 FUD131189 FKH131189 FAL131189 EQP131189 EGT131189 DWX131189 DNB131189 DDF131189 CTJ131189 CJN131189 BZR131189 BPV131189 BFZ131189 AWD131189 AMH131189 ACL131189 SP131189 IT131189 D131189 WVF65653 WLJ65653 WBN65653 VRR65653 VHV65653 UXZ65653 UOD65653 UEH65653 TUL65653 TKP65653 TAT65653 SQX65653 SHB65653 RXF65653 RNJ65653 RDN65653 QTR65653 QJV65653 PZZ65653 PQD65653 PGH65653 OWL65653 OMP65653 OCT65653 NSX65653 NJB65653 MZF65653 MPJ65653 MFN65653 LVR65653 LLV65653 LBZ65653 KSD65653 KIH65653 JYL65653 JOP65653 JET65653 IUX65653 ILB65653 IBF65653 HRJ65653 HHN65653 GXR65653 GNV65653 GDZ65653 FUD65653 FKH65653 FAL65653 EQP65653 EGT65653 DWX65653 DNB65653 DDF65653 CTJ65653 CJN65653 BZR65653 BPV65653 BFZ65653 AWD65653 AMH65653 ACL65653 SP65653 IT65653 D65653 WVF112 WLJ112 WBN112 VRR112 VHV112 UXZ112 UOD112 UEH112 TUL112 TKP112 TAT112 SQX112 SHB112 RXF112 RNJ112 RDN112 QTR112 QJV112 PZZ112 PQD112 PGH112 OWL112 OMP112 OCT112 NSX112 NJB112 MZF112 MPJ112 MFN112 LVR112 LLV112 LBZ112 KSD112 KIH112 JYL112 JOP112 JET112 IUX112 ILB112 IBF112 HRJ112 HHN112 GXR112 GNV112 GDZ112 FUD112 FKH112 FAL112 EQP112 EGT112 DWX112 DNB112 DDF112 CTJ112 CJN112 BZR112 BPV112 BFZ112 AWD112 AMH112 ACL112 SP112 IT112 WVF983132 WLJ983132 WBN983132 VRR983132 VHV983132 UXZ983132 UOD983132 UEH983132 TUL983132 TKP983132 TAT983132 SQX983132 SHB983132 RXF983132 RNJ983132 RDN983132 QTR983132 QJV983132 PZZ983132 PQD983132 PGH983132 OWL983132 OMP983132 OCT983132 NSX983132 NJB983132 MZF983132 MPJ983132 MFN983132 LVR983132 LLV983132 LBZ983132 KSD983132 KIH983132 JYL983132 JOP983132 JET983132 IUX983132 ILB983132 IBF983132 HRJ983132 HHN983132 GXR983132 GNV983132 GDZ983132 FUD983132 FKH983132 FAL983132 EQP983132 EGT983132 DWX983132 DNB983132 DDF983132 CTJ983132 CJN983132 BZR983132 BPV983132 BFZ983132 AWD983132 AMH983132 ACL983132 SP983132 IT983132 D983132 WVF917596 WLJ917596 WBN917596 VRR917596 VHV917596 UXZ917596 UOD917596 UEH917596 TUL917596 TKP917596 TAT917596 SQX917596 SHB917596 RXF917596 RNJ917596 RDN917596 QTR917596 QJV917596 PZZ917596 PQD917596 PGH917596 OWL917596 OMP917596 OCT917596 NSX917596 NJB917596 MZF917596 MPJ917596 MFN917596 LVR917596 LLV917596 LBZ917596 KSD917596 KIH917596 JYL917596 JOP917596 JET917596 IUX917596 ILB917596 IBF917596 HRJ917596 HHN917596 GXR917596 GNV917596 GDZ917596 FUD917596 FKH917596 FAL917596 EQP917596 EGT917596 DWX917596 DNB917596 DDF917596 CTJ917596 CJN917596 BZR917596 BPV917596 BFZ917596 AWD917596 AMH917596 ACL917596 SP917596 IT917596 D917596 WVF852060 WLJ852060 WBN852060 VRR852060 VHV852060 UXZ852060 UOD852060 UEH852060 TUL852060 TKP852060 TAT852060 SQX852060 SHB852060 RXF852060 RNJ852060 RDN852060 QTR852060 QJV852060 PZZ852060 PQD852060 PGH852060 OWL852060 OMP852060 OCT852060 NSX852060 NJB852060 MZF852060 MPJ852060 MFN852060 LVR852060 LLV852060 LBZ852060 KSD852060 KIH852060 JYL852060 JOP852060 JET852060 IUX852060 ILB852060 IBF852060 HRJ852060 HHN852060 GXR852060 GNV852060 GDZ852060 FUD852060 FKH852060 FAL852060 EQP852060 EGT852060 DWX852060 DNB852060 DDF852060 CTJ852060 CJN852060 BZR852060 BPV852060 BFZ852060 AWD852060 AMH852060 ACL852060 SP852060 IT852060 D852060 WVF786524 WLJ786524 WBN786524 VRR786524 VHV786524 UXZ786524 UOD786524 UEH786524 TUL786524 TKP786524 TAT786524 SQX786524 SHB786524 RXF786524 RNJ786524 RDN786524 QTR786524 QJV786524 PZZ786524 PQD786524 PGH786524 OWL786524 OMP786524 OCT786524 NSX786524 NJB786524 MZF786524 MPJ786524 MFN786524 LVR786524 LLV786524 LBZ786524 KSD786524 KIH786524 JYL786524 JOP786524 JET786524 IUX786524 ILB786524 IBF786524 HRJ786524 HHN786524 GXR786524 GNV786524 GDZ786524 FUD786524 FKH786524 FAL786524 EQP786524 EGT786524 DWX786524 DNB786524 DDF786524 CTJ786524 CJN786524 BZR786524 BPV786524 BFZ786524 AWD786524 AMH786524 ACL786524 SP786524 IT786524 D786524 WVF720988 WLJ720988 WBN720988 VRR720988 VHV720988 UXZ720988 UOD720988 UEH720988 TUL720988 TKP720988 TAT720988 SQX720988 SHB720988 RXF720988 RNJ720988 RDN720988 QTR720988 QJV720988 PZZ720988 PQD720988 PGH720988 OWL720988 OMP720988 OCT720988 NSX720988 NJB720988 MZF720988 MPJ720988 MFN720988 LVR720988 LLV720988 LBZ720988 KSD720988 KIH720988 JYL720988 JOP720988 JET720988 IUX720988 ILB720988 IBF720988 HRJ720988 HHN720988 GXR720988 GNV720988 GDZ720988 FUD720988 FKH720988 FAL720988 EQP720988 EGT720988 DWX720988 DNB720988 DDF720988 CTJ720988 CJN720988 BZR720988 BPV720988 BFZ720988 AWD720988 AMH720988 ACL720988 SP720988 IT720988 D720988 WVF655452 WLJ655452 WBN655452 VRR655452 VHV655452 UXZ655452 UOD655452 UEH655452 TUL655452 TKP655452 TAT655452 SQX655452 SHB655452 RXF655452 RNJ655452 RDN655452 QTR655452 QJV655452 PZZ655452 PQD655452 PGH655452 OWL655452 OMP655452 OCT655452 NSX655452 NJB655452 MZF655452 MPJ655452 MFN655452 LVR655452 LLV655452 LBZ655452 KSD655452 KIH655452 JYL655452 JOP655452 JET655452 IUX655452 ILB655452 IBF655452 HRJ655452 HHN655452 GXR655452 GNV655452 GDZ655452 FUD655452 FKH655452 FAL655452 EQP655452 EGT655452 DWX655452 DNB655452 DDF655452 CTJ655452 CJN655452 BZR655452 BPV655452 BFZ655452 AWD655452 AMH655452 ACL655452 SP655452 IT655452 D655452 WVF589916 WLJ589916 WBN589916 VRR589916 VHV589916 UXZ589916 UOD589916 UEH589916 TUL589916 TKP589916 TAT589916 SQX589916 SHB589916 RXF589916 RNJ589916 RDN589916 QTR589916 QJV589916 PZZ589916 PQD589916 PGH589916 OWL589916 OMP589916 OCT589916 NSX589916 NJB589916 MZF589916 MPJ589916 MFN589916 LVR589916 LLV589916 LBZ589916 KSD589916 KIH589916 JYL589916 JOP589916 JET589916 IUX589916 ILB589916 IBF589916 HRJ589916 HHN589916 GXR589916 GNV589916 GDZ589916 FUD589916 FKH589916 FAL589916 EQP589916 EGT589916 DWX589916 DNB589916 DDF589916 CTJ589916 CJN589916 BZR589916 BPV589916 BFZ589916 AWD589916 AMH589916 ACL589916 SP589916 IT589916 D589916 WVF524380 WLJ524380 WBN524380 VRR524380 VHV524380 UXZ524380 UOD524380 UEH524380 TUL524380 TKP524380 TAT524380 SQX524380 SHB524380 RXF524380 RNJ524380 RDN524380 QTR524380 QJV524380 PZZ524380 PQD524380 PGH524380 OWL524380 OMP524380 OCT524380 NSX524380 NJB524380 MZF524380 MPJ524380 MFN524380 LVR524380 LLV524380 LBZ524380 KSD524380 KIH524380 JYL524380 JOP524380 JET524380 IUX524380 ILB524380 IBF524380 HRJ524380 HHN524380 GXR524380 GNV524380 GDZ524380 FUD524380 FKH524380 FAL524380 EQP524380 EGT524380 DWX524380 DNB524380 DDF524380 CTJ524380 CJN524380 BZR524380 BPV524380 BFZ524380 AWD524380 AMH524380 ACL524380 SP524380 IT524380 D524380 WVF458844 WLJ458844 WBN458844 VRR458844 VHV458844 UXZ458844 UOD458844 UEH458844 TUL458844 TKP458844 TAT458844 SQX458844 SHB458844 RXF458844 RNJ458844 RDN458844 QTR458844 QJV458844 PZZ458844 PQD458844 PGH458844 OWL458844 OMP458844 OCT458844 NSX458844 NJB458844 MZF458844 MPJ458844 MFN458844 LVR458844 LLV458844 LBZ458844 KSD458844 KIH458844 JYL458844 JOP458844 JET458844 IUX458844 ILB458844 IBF458844 HRJ458844 HHN458844 GXR458844 GNV458844 GDZ458844 FUD458844 FKH458844 FAL458844 EQP458844 EGT458844 DWX458844 DNB458844 DDF458844 CTJ458844 CJN458844 BZR458844 BPV458844 BFZ458844 AWD458844 AMH458844 ACL458844 SP458844 IT458844 D458844 WVF393308 WLJ393308 WBN393308 VRR393308 VHV393308 UXZ393308 UOD393308 UEH393308 TUL393308 TKP393308 TAT393308 SQX393308 SHB393308 RXF393308 RNJ393308 RDN393308 QTR393308 QJV393308 PZZ393308 PQD393308 PGH393308 OWL393308 OMP393308 OCT393308 NSX393308 NJB393308 MZF393308 MPJ393308 MFN393308 LVR393308 LLV393308 LBZ393308 KSD393308 KIH393308 JYL393308 JOP393308 JET393308 IUX393308 ILB393308 IBF393308 HRJ393308 HHN393308 GXR393308 GNV393308 GDZ393308 FUD393308 FKH393308 FAL393308 EQP393308 EGT393308 DWX393308 DNB393308 DDF393308 CTJ393308 CJN393308 BZR393308 BPV393308 BFZ393308 AWD393308 AMH393308 ACL393308 SP393308 IT393308 D393308 WVF327772 WLJ327772 WBN327772 VRR327772 VHV327772 UXZ327772 UOD327772 UEH327772 TUL327772 TKP327772 TAT327772 SQX327772 SHB327772 RXF327772 RNJ327772 RDN327772 QTR327772 QJV327772 PZZ327772 PQD327772 PGH327772 OWL327772 OMP327772 OCT327772 NSX327772 NJB327772 MZF327772 MPJ327772 MFN327772 LVR327772 LLV327772 LBZ327772 KSD327772 KIH327772 JYL327772 JOP327772 JET327772 IUX327772 ILB327772 IBF327772 HRJ327772 HHN327772 GXR327772 GNV327772 GDZ327772 FUD327772 FKH327772 FAL327772 EQP327772 EGT327772 DWX327772 DNB327772 DDF327772 CTJ327772 CJN327772 BZR327772 BPV327772 BFZ327772 AWD327772 AMH327772 ACL327772 SP327772 IT327772 D327772 WVF262236 WLJ262236 WBN262236 VRR262236 VHV262236 UXZ262236 UOD262236 UEH262236 TUL262236 TKP262236 TAT262236 SQX262236 SHB262236 RXF262236 RNJ262236 RDN262236 QTR262236 QJV262236 PZZ262236 PQD262236 PGH262236 OWL262236 OMP262236 OCT262236 NSX262236 NJB262236 MZF262236 MPJ262236 MFN262236 LVR262236 LLV262236 LBZ262236 KSD262236 KIH262236 JYL262236 JOP262236 JET262236 IUX262236 ILB262236 IBF262236 HRJ262236 HHN262236 GXR262236 GNV262236 GDZ262236 FUD262236 FKH262236 FAL262236 EQP262236 EGT262236 DWX262236 DNB262236 DDF262236 CTJ262236 CJN262236 BZR262236 BPV262236 BFZ262236 AWD262236 AMH262236 ACL262236 SP262236 IT262236 D262236 WVF196700 WLJ196700 WBN196700 VRR196700 VHV196700 UXZ196700 UOD196700 UEH196700 TUL196700 TKP196700 TAT196700 SQX196700 SHB196700 RXF196700 RNJ196700 RDN196700 QTR196700 QJV196700 PZZ196700 PQD196700 PGH196700 OWL196700 OMP196700 OCT196700 NSX196700 NJB196700 MZF196700 MPJ196700 MFN196700 LVR196700 LLV196700 LBZ196700 KSD196700 KIH196700 JYL196700 JOP196700 JET196700 IUX196700 ILB196700 IBF196700 HRJ196700 HHN196700 GXR196700 GNV196700 GDZ196700 FUD196700 FKH196700 FAL196700 EQP196700 EGT196700 DWX196700 DNB196700 DDF196700 CTJ196700 CJN196700 BZR196700 BPV196700 BFZ196700 AWD196700 AMH196700 ACL196700 SP196700 IT196700 D196700 WVF131164 WLJ131164 WBN131164 VRR131164 VHV131164 UXZ131164 UOD131164 UEH131164 TUL131164 TKP131164 TAT131164 SQX131164 SHB131164 RXF131164 RNJ131164 RDN131164 QTR131164 QJV131164 PZZ131164 PQD131164 PGH131164 OWL131164 OMP131164 OCT131164 NSX131164 NJB131164 MZF131164 MPJ131164 MFN131164 LVR131164 LLV131164 LBZ131164 KSD131164 KIH131164 JYL131164 JOP131164 JET131164 IUX131164 ILB131164 IBF131164 HRJ131164 HHN131164 GXR131164 GNV131164 GDZ131164 FUD131164 FKH131164 FAL131164 EQP131164 EGT131164 DWX131164 DNB131164 DDF131164 CTJ131164 CJN131164 BZR131164 BPV131164 BFZ131164 AWD131164 AMH131164 ACL131164 SP131164 IT131164 D131164 WVF65628 WLJ65628 WBN65628 VRR65628 VHV65628 UXZ65628 UOD65628 UEH65628 TUL65628 TKP65628 TAT65628 SQX65628 SHB65628 RXF65628 RNJ65628 RDN65628 QTR65628 QJV65628 PZZ65628 PQD65628 PGH65628 OWL65628 OMP65628 OCT65628 NSX65628 NJB65628 MZF65628 MPJ65628 MFN65628 LVR65628 LLV65628 LBZ65628 KSD65628 KIH65628 JYL65628 JOP65628 JET65628 IUX65628 ILB65628 IBF65628 HRJ65628 HHN65628 GXR65628 GNV65628 GDZ65628 FUD65628 FKH65628 FAL65628 EQP65628 EGT65628 DWX65628 DNB65628 DDF65628 CTJ65628 CJN65628 BZR65628 BPV65628 BFZ65628 AWD65628 AMH65628 ACL65628 SP65628 IT65628 D65628 WVF87 WLJ87 WBN87 VRR87 VHV87 UXZ87 UOD87 UEH87 TUL87 TKP87 TAT87 SQX87 SHB87 RXF87 RNJ87 RDN87 QTR87 QJV87 PZZ87 PQD87 PGH87 OWL87 OMP87 OCT87 NSX87 NJB87 MZF87 MPJ87 MFN87 LVR87 LLV87 LBZ87 KSD87 KIH87 JYL87 JOP87 JET87 IUX87 ILB87 IBF87 HRJ87 HHN87 GXR87 GNV87 GDZ87 FUD87 FKH87 FAL87 EQP87 EGT87 DWX87 DNB87 DDF87 CTJ87 CJN87 BZR87 BPV87 BFZ87 AWD87 AMH87 ACL87 SP87 IT87 IT200 IU183:IU186 SQ183:SQ186 ACM183:ACM186 AMI183:AMI186 AWE183:AWE186 BGA183:BGA186 BPW183:BPW186 BZS183:BZS186 CJO183:CJO186 CTK183:CTK186 DDG183:DDG186 DNC183:DNC186 DWY183:DWY186 EGU183:EGU186 EQQ183:EQQ186 FAM183:FAM186 FKI183:FKI186 FUE183:FUE186 GEA183:GEA186 GNW183:GNW186 GXS183:GXS186 HHO183:HHO186 HRK183:HRK186 IBG183:IBG186 ILC183:ILC186 IUY183:IUY186 JEU183:JEU186 JOQ183:JOQ186 JYM183:JYM186 KII183:KII186 KSE183:KSE186 LCA183:LCA186 LLW183:LLW186 LVS183:LVS186 MFO183:MFO186 MPK183:MPK186 MZG183:MZG186 NJC183:NJC186 NSY183:NSY186 OCU183:OCU186 OMQ183:OMQ186 OWM183:OWM186 PGI183:PGI186 PQE183:PQE186 QAA183:QAA186 QJW183:QJW186 QTS183:QTS186 RDO183:RDO186 RNK183:RNK186 RXG183:RXG186 SHC183:SHC186 SQY183:SQY186 TAU183:TAU186 TKQ183:TKQ186 TUM183:TUM186 UEI183:UEI186 UOE183:UOE186 UYA183:UYA186 VHW183:VHW186 VRS183:VRS186 WBO183:WBO186 WLK183:WLK186 WVG183:WVG186 E65723:E65724 IU65723:IU65724 SQ65723:SQ65724 ACM65723:ACM65724 AMI65723:AMI65724 AWE65723:AWE65724 BGA65723:BGA65724 BPW65723:BPW65724 BZS65723:BZS65724 CJO65723:CJO65724 CTK65723:CTK65724 DDG65723:DDG65724 DNC65723:DNC65724 DWY65723:DWY65724 EGU65723:EGU65724 EQQ65723:EQQ65724 FAM65723:FAM65724 FKI65723:FKI65724 FUE65723:FUE65724 GEA65723:GEA65724 GNW65723:GNW65724 GXS65723:GXS65724 HHO65723:HHO65724 HRK65723:HRK65724 IBG65723:IBG65724 ILC65723:ILC65724 IUY65723:IUY65724 JEU65723:JEU65724 JOQ65723:JOQ65724 JYM65723:JYM65724 KII65723:KII65724 KSE65723:KSE65724 LCA65723:LCA65724 LLW65723:LLW65724 LVS65723:LVS65724 MFO65723:MFO65724 MPK65723:MPK65724 MZG65723:MZG65724 NJC65723:NJC65724 NSY65723:NSY65724 OCU65723:OCU65724 OMQ65723:OMQ65724 OWM65723:OWM65724 PGI65723:PGI65724 PQE65723:PQE65724 QAA65723:QAA65724 QJW65723:QJW65724 QTS65723:QTS65724 RDO65723:RDO65724 RNK65723:RNK65724 RXG65723:RXG65724 SHC65723:SHC65724 SQY65723:SQY65724 TAU65723:TAU65724 TKQ65723:TKQ65724 TUM65723:TUM65724 UEI65723:UEI65724 UOE65723:UOE65724 UYA65723:UYA65724 VHW65723:VHW65724 VRS65723:VRS65724 WBO65723:WBO65724 WLK65723:WLK65724 WVG65723:WVG65724 E131259:E131260 IU131259:IU131260 SQ131259:SQ131260 ACM131259:ACM131260 AMI131259:AMI131260 AWE131259:AWE131260 BGA131259:BGA131260 BPW131259:BPW131260 BZS131259:BZS131260 CJO131259:CJO131260 CTK131259:CTK131260 DDG131259:DDG131260 DNC131259:DNC131260 DWY131259:DWY131260 EGU131259:EGU131260 EQQ131259:EQQ131260 FAM131259:FAM131260 FKI131259:FKI131260 FUE131259:FUE131260 GEA131259:GEA131260 GNW131259:GNW131260 GXS131259:GXS131260 HHO131259:HHO131260 HRK131259:HRK131260 IBG131259:IBG131260 ILC131259:ILC131260 IUY131259:IUY131260 JEU131259:JEU131260 JOQ131259:JOQ131260 JYM131259:JYM131260 KII131259:KII131260 KSE131259:KSE131260 LCA131259:LCA131260 LLW131259:LLW131260 LVS131259:LVS131260 MFO131259:MFO131260 MPK131259:MPK131260 MZG131259:MZG131260 NJC131259:NJC131260 NSY131259:NSY131260 OCU131259:OCU131260 OMQ131259:OMQ131260 OWM131259:OWM131260 PGI131259:PGI131260 PQE131259:PQE131260 QAA131259:QAA131260 QJW131259:QJW131260 QTS131259:QTS131260 RDO131259:RDO131260 RNK131259:RNK131260 RXG131259:RXG131260 SHC131259:SHC131260 SQY131259:SQY131260 TAU131259:TAU131260 TKQ131259:TKQ131260 TUM131259:TUM131260 UEI131259:UEI131260 UOE131259:UOE131260 UYA131259:UYA131260 VHW131259:VHW131260 VRS131259:VRS131260 WBO131259:WBO131260 WLK131259:WLK131260 WVG131259:WVG131260 E196795:E196796 IU196795:IU196796 SQ196795:SQ196796 ACM196795:ACM196796 AMI196795:AMI196796 AWE196795:AWE196796 BGA196795:BGA196796 BPW196795:BPW196796 BZS196795:BZS196796 CJO196795:CJO196796 CTK196795:CTK196796 DDG196795:DDG196796 DNC196795:DNC196796 DWY196795:DWY196796 EGU196795:EGU196796 EQQ196795:EQQ196796 FAM196795:FAM196796 FKI196795:FKI196796 FUE196795:FUE196796 GEA196795:GEA196796 GNW196795:GNW196796 GXS196795:GXS196796 HHO196795:HHO196796 HRK196795:HRK196796 IBG196795:IBG196796 ILC196795:ILC196796 IUY196795:IUY196796 JEU196795:JEU196796 JOQ196795:JOQ196796 JYM196795:JYM196796 KII196795:KII196796 KSE196795:KSE196796 LCA196795:LCA196796 LLW196795:LLW196796 LVS196795:LVS196796 MFO196795:MFO196796 MPK196795:MPK196796 MZG196795:MZG196796 NJC196795:NJC196796 NSY196795:NSY196796 OCU196795:OCU196796 OMQ196795:OMQ196796 OWM196795:OWM196796 PGI196795:PGI196796 PQE196795:PQE196796 QAA196795:QAA196796 QJW196795:QJW196796 QTS196795:QTS196796 RDO196795:RDO196796 RNK196795:RNK196796 RXG196795:RXG196796 SHC196795:SHC196796 SQY196795:SQY196796 TAU196795:TAU196796 TKQ196795:TKQ196796 TUM196795:TUM196796 UEI196795:UEI196796 UOE196795:UOE196796 UYA196795:UYA196796 VHW196795:VHW196796 VRS196795:VRS196796 WBO196795:WBO196796 WLK196795:WLK196796 WVG196795:WVG196796 E262331:E262332 IU262331:IU262332 SQ262331:SQ262332 ACM262331:ACM262332 AMI262331:AMI262332 AWE262331:AWE262332 BGA262331:BGA262332 BPW262331:BPW262332 BZS262331:BZS262332 CJO262331:CJO262332 CTK262331:CTK262332 DDG262331:DDG262332 DNC262331:DNC262332 DWY262331:DWY262332 EGU262331:EGU262332 EQQ262331:EQQ262332 FAM262331:FAM262332 FKI262331:FKI262332 FUE262331:FUE262332 GEA262331:GEA262332 GNW262331:GNW262332 GXS262331:GXS262332 HHO262331:HHO262332 HRK262331:HRK262332 IBG262331:IBG262332 ILC262331:ILC262332 IUY262331:IUY262332 JEU262331:JEU262332 JOQ262331:JOQ262332 JYM262331:JYM262332 KII262331:KII262332 KSE262331:KSE262332 LCA262331:LCA262332 LLW262331:LLW262332 LVS262331:LVS262332 MFO262331:MFO262332 MPK262331:MPK262332 MZG262331:MZG262332 NJC262331:NJC262332 NSY262331:NSY262332 OCU262331:OCU262332 OMQ262331:OMQ262332 OWM262331:OWM262332 PGI262331:PGI262332 PQE262331:PQE262332 QAA262331:QAA262332 QJW262331:QJW262332 QTS262331:QTS262332 RDO262331:RDO262332 RNK262331:RNK262332 RXG262331:RXG262332 SHC262331:SHC262332 SQY262331:SQY262332 TAU262331:TAU262332 TKQ262331:TKQ262332 TUM262331:TUM262332 UEI262331:UEI262332 UOE262331:UOE262332 UYA262331:UYA262332 VHW262331:VHW262332 VRS262331:VRS262332 WBO262331:WBO262332 WLK262331:WLK262332 WVG262331:WVG262332 E327867:E327868 IU327867:IU327868 SQ327867:SQ327868 ACM327867:ACM327868 AMI327867:AMI327868 AWE327867:AWE327868 BGA327867:BGA327868 BPW327867:BPW327868 BZS327867:BZS327868 CJO327867:CJO327868 CTK327867:CTK327868 DDG327867:DDG327868 DNC327867:DNC327868 DWY327867:DWY327868 EGU327867:EGU327868 EQQ327867:EQQ327868 FAM327867:FAM327868 FKI327867:FKI327868 FUE327867:FUE327868 GEA327867:GEA327868 GNW327867:GNW327868 GXS327867:GXS327868 HHO327867:HHO327868 HRK327867:HRK327868 IBG327867:IBG327868 ILC327867:ILC327868 IUY327867:IUY327868 JEU327867:JEU327868 JOQ327867:JOQ327868 JYM327867:JYM327868 KII327867:KII327868 KSE327867:KSE327868 LCA327867:LCA327868 LLW327867:LLW327868 LVS327867:LVS327868 MFO327867:MFO327868 MPK327867:MPK327868 MZG327867:MZG327868 NJC327867:NJC327868 NSY327867:NSY327868 OCU327867:OCU327868 OMQ327867:OMQ327868 OWM327867:OWM327868 PGI327867:PGI327868 PQE327867:PQE327868 QAA327867:QAA327868 QJW327867:QJW327868 QTS327867:QTS327868 RDO327867:RDO327868 RNK327867:RNK327868 RXG327867:RXG327868 SHC327867:SHC327868 SQY327867:SQY327868 TAU327867:TAU327868 TKQ327867:TKQ327868 TUM327867:TUM327868 UEI327867:UEI327868 UOE327867:UOE327868 UYA327867:UYA327868 VHW327867:VHW327868 VRS327867:VRS327868 WBO327867:WBO327868 WLK327867:WLK327868 WVG327867:WVG327868 E393403:E393404 IU393403:IU393404 SQ393403:SQ393404 ACM393403:ACM393404 AMI393403:AMI393404 AWE393403:AWE393404 BGA393403:BGA393404 BPW393403:BPW393404 BZS393403:BZS393404 CJO393403:CJO393404 CTK393403:CTK393404 DDG393403:DDG393404 DNC393403:DNC393404 DWY393403:DWY393404 EGU393403:EGU393404 EQQ393403:EQQ393404 FAM393403:FAM393404 FKI393403:FKI393404 FUE393403:FUE393404 GEA393403:GEA393404 GNW393403:GNW393404 GXS393403:GXS393404 HHO393403:HHO393404 HRK393403:HRK393404 IBG393403:IBG393404 ILC393403:ILC393404 IUY393403:IUY393404 JEU393403:JEU393404 JOQ393403:JOQ393404 JYM393403:JYM393404 KII393403:KII393404 KSE393403:KSE393404 LCA393403:LCA393404 LLW393403:LLW393404 LVS393403:LVS393404 MFO393403:MFO393404 MPK393403:MPK393404 MZG393403:MZG393404 NJC393403:NJC393404 NSY393403:NSY393404 OCU393403:OCU393404 OMQ393403:OMQ393404 OWM393403:OWM393404 PGI393403:PGI393404 PQE393403:PQE393404 QAA393403:QAA393404 QJW393403:QJW393404 QTS393403:QTS393404 RDO393403:RDO393404 RNK393403:RNK393404 RXG393403:RXG393404 SHC393403:SHC393404 SQY393403:SQY393404 TAU393403:TAU393404 TKQ393403:TKQ393404 TUM393403:TUM393404 UEI393403:UEI393404 UOE393403:UOE393404 UYA393403:UYA393404 VHW393403:VHW393404 VRS393403:VRS393404 WBO393403:WBO393404 WLK393403:WLK393404 WVG393403:WVG393404 E458939:E458940 IU458939:IU458940 SQ458939:SQ458940 ACM458939:ACM458940 AMI458939:AMI458940 AWE458939:AWE458940 BGA458939:BGA458940 BPW458939:BPW458940 BZS458939:BZS458940 CJO458939:CJO458940 CTK458939:CTK458940 DDG458939:DDG458940 DNC458939:DNC458940 DWY458939:DWY458940 EGU458939:EGU458940 EQQ458939:EQQ458940 FAM458939:FAM458940 FKI458939:FKI458940 FUE458939:FUE458940 GEA458939:GEA458940 GNW458939:GNW458940 GXS458939:GXS458940 HHO458939:HHO458940 HRK458939:HRK458940 IBG458939:IBG458940 ILC458939:ILC458940 IUY458939:IUY458940 JEU458939:JEU458940 JOQ458939:JOQ458940 JYM458939:JYM458940 KII458939:KII458940 KSE458939:KSE458940 LCA458939:LCA458940 LLW458939:LLW458940 LVS458939:LVS458940 MFO458939:MFO458940 MPK458939:MPK458940 MZG458939:MZG458940 NJC458939:NJC458940 NSY458939:NSY458940 OCU458939:OCU458940 OMQ458939:OMQ458940 OWM458939:OWM458940 PGI458939:PGI458940 PQE458939:PQE458940 QAA458939:QAA458940 QJW458939:QJW458940 QTS458939:QTS458940 RDO458939:RDO458940 RNK458939:RNK458940 RXG458939:RXG458940 SHC458939:SHC458940 SQY458939:SQY458940 TAU458939:TAU458940 TKQ458939:TKQ458940 TUM458939:TUM458940 UEI458939:UEI458940 UOE458939:UOE458940 UYA458939:UYA458940 VHW458939:VHW458940 VRS458939:VRS458940 WBO458939:WBO458940 WLK458939:WLK458940 WVG458939:WVG458940 E524475:E524476 IU524475:IU524476 SQ524475:SQ524476 ACM524475:ACM524476 AMI524475:AMI524476 AWE524475:AWE524476 BGA524475:BGA524476 BPW524475:BPW524476 BZS524475:BZS524476 CJO524475:CJO524476 CTK524475:CTK524476 DDG524475:DDG524476 DNC524475:DNC524476 DWY524475:DWY524476 EGU524475:EGU524476 EQQ524475:EQQ524476 FAM524475:FAM524476 FKI524475:FKI524476 FUE524475:FUE524476 GEA524475:GEA524476 GNW524475:GNW524476 GXS524475:GXS524476 HHO524475:HHO524476 HRK524475:HRK524476 IBG524475:IBG524476 ILC524475:ILC524476 IUY524475:IUY524476 JEU524475:JEU524476 JOQ524475:JOQ524476 JYM524475:JYM524476 KII524475:KII524476 KSE524475:KSE524476 LCA524475:LCA524476 LLW524475:LLW524476 LVS524475:LVS524476 MFO524475:MFO524476 MPK524475:MPK524476 MZG524475:MZG524476 NJC524475:NJC524476 NSY524475:NSY524476 OCU524475:OCU524476 OMQ524475:OMQ524476 OWM524475:OWM524476 PGI524475:PGI524476 PQE524475:PQE524476 QAA524475:QAA524476 QJW524475:QJW524476 QTS524475:QTS524476 RDO524475:RDO524476 RNK524475:RNK524476 RXG524475:RXG524476 SHC524475:SHC524476 SQY524475:SQY524476 TAU524475:TAU524476 TKQ524475:TKQ524476 TUM524475:TUM524476 UEI524475:UEI524476 UOE524475:UOE524476 UYA524475:UYA524476 VHW524475:VHW524476 VRS524475:VRS524476 WBO524475:WBO524476 WLK524475:WLK524476 WVG524475:WVG524476 E590011:E590012 IU590011:IU590012 SQ590011:SQ590012 ACM590011:ACM590012 AMI590011:AMI590012 AWE590011:AWE590012 BGA590011:BGA590012 BPW590011:BPW590012 BZS590011:BZS590012 CJO590011:CJO590012 CTK590011:CTK590012 DDG590011:DDG590012 DNC590011:DNC590012 DWY590011:DWY590012 EGU590011:EGU590012 EQQ590011:EQQ590012 FAM590011:FAM590012 FKI590011:FKI590012 FUE590011:FUE590012 GEA590011:GEA590012 GNW590011:GNW590012 GXS590011:GXS590012 HHO590011:HHO590012 HRK590011:HRK590012 IBG590011:IBG590012 ILC590011:ILC590012 IUY590011:IUY590012 JEU590011:JEU590012 JOQ590011:JOQ590012 JYM590011:JYM590012 KII590011:KII590012 KSE590011:KSE590012 LCA590011:LCA590012 LLW590011:LLW590012 LVS590011:LVS590012 MFO590011:MFO590012 MPK590011:MPK590012 MZG590011:MZG590012 NJC590011:NJC590012 NSY590011:NSY590012 OCU590011:OCU590012 OMQ590011:OMQ590012 OWM590011:OWM590012 PGI590011:PGI590012 PQE590011:PQE590012 QAA590011:QAA590012 QJW590011:QJW590012 QTS590011:QTS590012 RDO590011:RDO590012 RNK590011:RNK590012 RXG590011:RXG590012 SHC590011:SHC590012 SQY590011:SQY590012 TAU590011:TAU590012 TKQ590011:TKQ590012 TUM590011:TUM590012 UEI590011:UEI590012 UOE590011:UOE590012 UYA590011:UYA590012 VHW590011:VHW590012 VRS590011:VRS590012 WBO590011:WBO590012 WLK590011:WLK590012 WVG590011:WVG590012 E655547:E655548 IU655547:IU655548 SQ655547:SQ655548 ACM655547:ACM655548 AMI655547:AMI655548 AWE655547:AWE655548 BGA655547:BGA655548 BPW655547:BPW655548 BZS655547:BZS655548 CJO655547:CJO655548 CTK655547:CTK655548 DDG655547:DDG655548 DNC655547:DNC655548 DWY655547:DWY655548 EGU655547:EGU655548 EQQ655547:EQQ655548 FAM655547:FAM655548 FKI655547:FKI655548 FUE655547:FUE655548 GEA655547:GEA655548 GNW655547:GNW655548 GXS655547:GXS655548 HHO655547:HHO655548 HRK655547:HRK655548 IBG655547:IBG655548 ILC655547:ILC655548 IUY655547:IUY655548 JEU655547:JEU655548 JOQ655547:JOQ655548 JYM655547:JYM655548 KII655547:KII655548 KSE655547:KSE655548 LCA655547:LCA655548 LLW655547:LLW655548 LVS655547:LVS655548 MFO655547:MFO655548 MPK655547:MPK655548 MZG655547:MZG655548 NJC655547:NJC655548 NSY655547:NSY655548 OCU655547:OCU655548 OMQ655547:OMQ655548 OWM655547:OWM655548 PGI655547:PGI655548 PQE655547:PQE655548 QAA655547:QAA655548 QJW655547:QJW655548 QTS655547:QTS655548 RDO655547:RDO655548 RNK655547:RNK655548 RXG655547:RXG655548 SHC655547:SHC655548 SQY655547:SQY655548 TAU655547:TAU655548 TKQ655547:TKQ655548 TUM655547:TUM655548 UEI655547:UEI655548 UOE655547:UOE655548 UYA655547:UYA655548 VHW655547:VHW655548 VRS655547:VRS655548 WBO655547:WBO655548 WLK655547:WLK655548 WVG655547:WVG655548 E721083:E721084 IU721083:IU721084 SQ721083:SQ721084 ACM721083:ACM721084 AMI721083:AMI721084 AWE721083:AWE721084 BGA721083:BGA721084 BPW721083:BPW721084 BZS721083:BZS721084 CJO721083:CJO721084 CTK721083:CTK721084 DDG721083:DDG721084 DNC721083:DNC721084 DWY721083:DWY721084 EGU721083:EGU721084 EQQ721083:EQQ721084 FAM721083:FAM721084 FKI721083:FKI721084 FUE721083:FUE721084 GEA721083:GEA721084 GNW721083:GNW721084 GXS721083:GXS721084 HHO721083:HHO721084 HRK721083:HRK721084 IBG721083:IBG721084 ILC721083:ILC721084 IUY721083:IUY721084 JEU721083:JEU721084 JOQ721083:JOQ721084 JYM721083:JYM721084 KII721083:KII721084 KSE721083:KSE721084 LCA721083:LCA721084 LLW721083:LLW721084 LVS721083:LVS721084 MFO721083:MFO721084 MPK721083:MPK721084 MZG721083:MZG721084 NJC721083:NJC721084 NSY721083:NSY721084 OCU721083:OCU721084 OMQ721083:OMQ721084 OWM721083:OWM721084 PGI721083:PGI721084 PQE721083:PQE721084 QAA721083:QAA721084 QJW721083:QJW721084 QTS721083:QTS721084 RDO721083:RDO721084 RNK721083:RNK721084 RXG721083:RXG721084 SHC721083:SHC721084 SQY721083:SQY721084 TAU721083:TAU721084 TKQ721083:TKQ721084 TUM721083:TUM721084 UEI721083:UEI721084 UOE721083:UOE721084 UYA721083:UYA721084 VHW721083:VHW721084 VRS721083:VRS721084 WBO721083:WBO721084 WLK721083:WLK721084 WVG721083:WVG721084 E786619:E786620 IU786619:IU786620 SQ786619:SQ786620 ACM786619:ACM786620 AMI786619:AMI786620 AWE786619:AWE786620 BGA786619:BGA786620 BPW786619:BPW786620 BZS786619:BZS786620 CJO786619:CJO786620 CTK786619:CTK786620 DDG786619:DDG786620 DNC786619:DNC786620 DWY786619:DWY786620 EGU786619:EGU786620 EQQ786619:EQQ786620 FAM786619:FAM786620 FKI786619:FKI786620 FUE786619:FUE786620 GEA786619:GEA786620 GNW786619:GNW786620 GXS786619:GXS786620 HHO786619:HHO786620 HRK786619:HRK786620 IBG786619:IBG786620 ILC786619:ILC786620 IUY786619:IUY786620 JEU786619:JEU786620 JOQ786619:JOQ786620 JYM786619:JYM786620 KII786619:KII786620 KSE786619:KSE786620 LCA786619:LCA786620 LLW786619:LLW786620 LVS786619:LVS786620 MFO786619:MFO786620 MPK786619:MPK786620 MZG786619:MZG786620 NJC786619:NJC786620 NSY786619:NSY786620 OCU786619:OCU786620 OMQ786619:OMQ786620 OWM786619:OWM786620 PGI786619:PGI786620 PQE786619:PQE786620 QAA786619:QAA786620 QJW786619:QJW786620 QTS786619:QTS786620 RDO786619:RDO786620 RNK786619:RNK786620 RXG786619:RXG786620 SHC786619:SHC786620 SQY786619:SQY786620 TAU786619:TAU786620 TKQ786619:TKQ786620 TUM786619:TUM786620 UEI786619:UEI786620 UOE786619:UOE786620 UYA786619:UYA786620 VHW786619:VHW786620 VRS786619:VRS786620 WBO786619:WBO786620 WLK786619:WLK786620 WVG786619:WVG786620 E852155:E852156 IU852155:IU852156 SQ852155:SQ852156 ACM852155:ACM852156 AMI852155:AMI852156 AWE852155:AWE852156 BGA852155:BGA852156 BPW852155:BPW852156 BZS852155:BZS852156 CJO852155:CJO852156 CTK852155:CTK852156 DDG852155:DDG852156 DNC852155:DNC852156 DWY852155:DWY852156 EGU852155:EGU852156 EQQ852155:EQQ852156 FAM852155:FAM852156 FKI852155:FKI852156 FUE852155:FUE852156 GEA852155:GEA852156 GNW852155:GNW852156 GXS852155:GXS852156 HHO852155:HHO852156 HRK852155:HRK852156 IBG852155:IBG852156 ILC852155:ILC852156 IUY852155:IUY852156 JEU852155:JEU852156 JOQ852155:JOQ852156 JYM852155:JYM852156 KII852155:KII852156 KSE852155:KSE852156 LCA852155:LCA852156 LLW852155:LLW852156 LVS852155:LVS852156 MFO852155:MFO852156 MPK852155:MPK852156 MZG852155:MZG852156 NJC852155:NJC852156 NSY852155:NSY852156 OCU852155:OCU852156 OMQ852155:OMQ852156 OWM852155:OWM852156 PGI852155:PGI852156 PQE852155:PQE852156 QAA852155:QAA852156 QJW852155:QJW852156 QTS852155:QTS852156 RDO852155:RDO852156 RNK852155:RNK852156 RXG852155:RXG852156 SHC852155:SHC852156 SQY852155:SQY852156 TAU852155:TAU852156 TKQ852155:TKQ852156 TUM852155:TUM852156 UEI852155:UEI852156 UOE852155:UOE852156 UYA852155:UYA852156 VHW852155:VHW852156 VRS852155:VRS852156 WBO852155:WBO852156 WLK852155:WLK852156 WVG852155:WVG852156 E917691:E917692 IU917691:IU917692 SQ917691:SQ917692 ACM917691:ACM917692 AMI917691:AMI917692 AWE917691:AWE917692 BGA917691:BGA917692 BPW917691:BPW917692 BZS917691:BZS917692 CJO917691:CJO917692 CTK917691:CTK917692 DDG917691:DDG917692 DNC917691:DNC917692 DWY917691:DWY917692 EGU917691:EGU917692 EQQ917691:EQQ917692 FAM917691:FAM917692 FKI917691:FKI917692 FUE917691:FUE917692 GEA917691:GEA917692 GNW917691:GNW917692 GXS917691:GXS917692 HHO917691:HHO917692 HRK917691:HRK917692 IBG917691:IBG917692 ILC917691:ILC917692 IUY917691:IUY917692 JEU917691:JEU917692 JOQ917691:JOQ917692 JYM917691:JYM917692 KII917691:KII917692 KSE917691:KSE917692 LCA917691:LCA917692 LLW917691:LLW917692 LVS917691:LVS917692 MFO917691:MFO917692 MPK917691:MPK917692 MZG917691:MZG917692 NJC917691:NJC917692 NSY917691:NSY917692 OCU917691:OCU917692 OMQ917691:OMQ917692 OWM917691:OWM917692 PGI917691:PGI917692 PQE917691:PQE917692 QAA917691:QAA917692 QJW917691:QJW917692 QTS917691:QTS917692 RDO917691:RDO917692 RNK917691:RNK917692 RXG917691:RXG917692 SHC917691:SHC917692 SQY917691:SQY917692 TAU917691:TAU917692 TKQ917691:TKQ917692 TUM917691:TUM917692 UEI917691:UEI917692 UOE917691:UOE917692 UYA917691:UYA917692 VHW917691:VHW917692 VRS917691:VRS917692 WBO917691:WBO917692 WLK917691:WLK917692 WVG917691:WVG917692 E983227:E983228 IU983227:IU983228 SQ983227:SQ983228 ACM983227:ACM983228 AMI983227:AMI983228 AWE983227:AWE983228 BGA983227:BGA983228 BPW983227:BPW983228 BZS983227:BZS983228 CJO983227:CJO983228 CTK983227:CTK983228 DDG983227:DDG983228 DNC983227:DNC983228 DWY983227:DWY983228 EGU983227:EGU983228 EQQ983227:EQQ983228 FAM983227:FAM983228 FKI983227:FKI983228 FUE983227:FUE983228 GEA983227:GEA983228 GNW983227:GNW983228 GXS983227:GXS983228 HHO983227:HHO983228 HRK983227:HRK983228 IBG983227:IBG983228 ILC983227:ILC983228 IUY983227:IUY983228 JEU983227:JEU983228 JOQ983227:JOQ983228 JYM983227:JYM983228 KII983227:KII983228 KSE983227:KSE983228 LCA983227:LCA983228 LLW983227:LLW983228 LVS983227:LVS983228 MFO983227:MFO983228 MPK983227:MPK983228 MZG983227:MZG983228 NJC983227:NJC983228 NSY983227:NSY983228 OCU983227:OCU983228 OMQ983227:OMQ983228 OWM983227:OWM983228 PGI983227:PGI983228 PQE983227:PQE983228 QAA983227:QAA983228 QJW983227:QJW983228 QTS983227:QTS983228 RDO983227:RDO983228 RNK983227:RNK983228 RXG983227:RXG983228 SHC983227:SHC983228 SQY983227:SQY983228 TAU983227:TAU983228 TKQ983227:TKQ983228 TUM983227:TUM983228 UEI983227:UEI983228 UOE983227:UOE983228 UYA983227:UYA983228 VHW983227:VHW983228 VRS983227:VRS983228 WBO983227:WBO983228 WLK983227:WLK983228 WVG983227:WVG983228 C85:D86 IS85:IT86 SO85:SP86 ACK85:ACL86 AMG85:AMH86 AWC85:AWD86 BFY85:BFZ86 BPU85:BPV86 BZQ85:BZR86 CJM85:CJN86 CTI85:CTJ86 DDE85:DDF86 DNA85:DNB86 DWW85:DWX86 EGS85:EGT86 EQO85:EQP86 FAK85:FAL86 FKG85:FKH86 FUC85:FUD86 GDY85:GDZ86 GNU85:GNV86 GXQ85:GXR86 HHM85:HHN86 HRI85:HRJ86 IBE85:IBF86 ILA85:ILB86 IUW85:IUX86 JES85:JET86 JOO85:JOP86 JYK85:JYL86 KIG85:KIH86 KSC85:KSD86 LBY85:LBZ86 LLU85:LLV86 LVQ85:LVR86 MFM85:MFN86 MPI85:MPJ86 MZE85:MZF86 NJA85:NJB86 NSW85:NSX86 OCS85:OCT86 OMO85:OMP86 OWK85:OWL86 PGG85:PGH86 PQC85:PQD86 PZY85:PZZ86 QJU85:QJV86 QTQ85:QTR86 RDM85:RDN86 RNI85:RNJ86 RXE85:RXF86 SHA85:SHB86 SQW85:SQX86 TAS85:TAT86 TKO85:TKP86 TUK85:TUL86 UEG85:UEH86 UOC85:UOD86 UXY85:UXZ86 VHU85:VHV86 VRQ85:VRR86 WBM85:WBN86 WLI85:WLJ86 WVE85:WVF86 C65626:D65627 IS65626:IT65627 SO65626:SP65627 ACK65626:ACL65627 AMG65626:AMH65627 AWC65626:AWD65627 BFY65626:BFZ65627 BPU65626:BPV65627 BZQ65626:BZR65627 CJM65626:CJN65627 CTI65626:CTJ65627 DDE65626:DDF65627 DNA65626:DNB65627 DWW65626:DWX65627 EGS65626:EGT65627 EQO65626:EQP65627 FAK65626:FAL65627 FKG65626:FKH65627 FUC65626:FUD65627 GDY65626:GDZ65627 GNU65626:GNV65627 GXQ65626:GXR65627 HHM65626:HHN65627 HRI65626:HRJ65627 IBE65626:IBF65627 ILA65626:ILB65627 IUW65626:IUX65627 JES65626:JET65627 JOO65626:JOP65627 JYK65626:JYL65627 KIG65626:KIH65627 KSC65626:KSD65627 LBY65626:LBZ65627 LLU65626:LLV65627 LVQ65626:LVR65627 MFM65626:MFN65627 MPI65626:MPJ65627 MZE65626:MZF65627 NJA65626:NJB65627 NSW65626:NSX65627 OCS65626:OCT65627 OMO65626:OMP65627 OWK65626:OWL65627 PGG65626:PGH65627 PQC65626:PQD65627 PZY65626:PZZ65627 QJU65626:QJV65627 QTQ65626:QTR65627 RDM65626:RDN65627 RNI65626:RNJ65627 RXE65626:RXF65627 SHA65626:SHB65627 SQW65626:SQX65627 TAS65626:TAT65627 TKO65626:TKP65627 TUK65626:TUL65627 UEG65626:UEH65627 UOC65626:UOD65627 UXY65626:UXZ65627 VHU65626:VHV65627 VRQ65626:VRR65627 WBM65626:WBN65627 WLI65626:WLJ65627 WVE65626:WVF65627 C131162:D131163 IS131162:IT131163 SO131162:SP131163 ACK131162:ACL131163 AMG131162:AMH131163 AWC131162:AWD131163 BFY131162:BFZ131163 BPU131162:BPV131163 BZQ131162:BZR131163 CJM131162:CJN131163 CTI131162:CTJ131163 DDE131162:DDF131163 DNA131162:DNB131163 DWW131162:DWX131163 EGS131162:EGT131163 EQO131162:EQP131163 FAK131162:FAL131163 FKG131162:FKH131163 FUC131162:FUD131163 GDY131162:GDZ131163 GNU131162:GNV131163 GXQ131162:GXR131163 HHM131162:HHN131163 HRI131162:HRJ131163 IBE131162:IBF131163 ILA131162:ILB131163 IUW131162:IUX131163 JES131162:JET131163 JOO131162:JOP131163 JYK131162:JYL131163 KIG131162:KIH131163 KSC131162:KSD131163 LBY131162:LBZ131163 LLU131162:LLV131163 LVQ131162:LVR131163 MFM131162:MFN131163 MPI131162:MPJ131163 MZE131162:MZF131163 NJA131162:NJB131163 NSW131162:NSX131163 OCS131162:OCT131163 OMO131162:OMP131163 OWK131162:OWL131163 PGG131162:PGH131163 PQC131162:PQD131163 PZY131162:PZZ131163 QJU131162:QJV131163 QTQ131162:QTR131163 RDM131162:RDN131163 RNI131162:RNJ131163 RXE131162:RXF131163 SHA131162:SHB131163 SQW131162:SQX131163 TAS131162:TAT131163 TKO131162:TKP131163 TUK131162:TUL131163 UEG131162:UEH131163 UOC131162:UOD131163 UXY131162:UXZ131163 VHU131162:VHV131163 VRQ131162:VRR131163 WBM131162:WBN131163 WLI131162:WLJ131163 WVE131162:WVF131163 C196698:D196699 IS196698:IT196699 SO196698:SP196699 ACK196698:ACL196699 AMG196698:AMH196699 AWC196698:AWD196699 BFY196698:BFZ196699 BPU196698:BPV196699 BZQ196698:BZR196699 CJM196698:CJN196699 CTI196698:CTJ196699 DDE196698:DDF196699 DNA196698:DNB196699 DWW196698:DWX196699 EGS196698:EGT196699 EQO196698:EQP196699 FAK196698:FAL196699 FKG196698:FKH196699 FUC196698:FUD196699 GDY196698:GDZ196699 GNU196698:GNV196699 GXQ196698:GXR196699 HHM196698:HHN196699 HRI196698:HRJ196699 IBE196698:IBF196699 ILA196698:ILB196699 IUW196698:IUX196699 JES196698:JET196699 JOO196698:JOP196699 JYK196698:JYL196699 KIG196698:KIH196699 KSC196698:KSD196699 LBY196698:LBZ196699 LLU196698:LLV196699 LVQ196698:LVR196699 MFM196698:MFN196699 MPI196698:MPJ196699 MZE196698:MZF196699 NJA196698:NJB196699 NSW196698:NSX196699 OCS196698:OCT196699 OMO196698:OMP196699 OWK196698:OWL196699 PGG196698:PGH196699 PQC196698:PQD196699 PZY196698:PZZ196699 QJU196698:QJV196699 QTQ196698:QTR196699 RDM196698:RDN196699 RNI196698:RNJ196699 RXE196698:RXF196699 SHA196698:SHB196699 SQW196698:SQX196699 TAS196698:TAT196699 TKO196698:TKP196699 TUK196698:TUL196699 UEG196698:UEH196699 UOC196698:UOD196699 UXY196698:UXZ196699 VHU196698:VHV196699 VRQ196698:VRR196699 WBM196698:WBN196699 WLI196698:WLJ196699 WVE196698:WVF196699 C262234:D262235 IS262234:IT262235 SO262234:SP262235 ACK262234:ACL262235 AMG262234:AMH262235 AWC262234:AWD262235 BFY262234:BFZ262235 BPU262234:BPV262235 BZQ262234:BZR262235 CJM262234:CJN262235 CTI262234:CTJ262235 DDE262234:DDF262235 DNA262234:DNB262235 DWW262234:DWX262235 EGS262234:EGT262235 EQO262234:EQP262235 FAK262234:FAL262235 FKG262234:FKH262235 FUC262234:FUD262235 GDY262234:GDZ262235 GNU262234:GNV262235 GXQ262234:GXR262235 HHM262234:HHN262235 HRI262234:HRJ262235 IBE262234:IBF262235 ILA262234:ILB262235 IUW262234:IUX262235 JES262234:JET262235 JOO262234:JOP262235 JYK262234:JYL262235 KIG262234:KIH262235 KSC262234:KSD262235 LBY262234:LBZ262235 LLU262234:LLV262235 LVQ262234:LVR262235 MFM262234:MFN262235 MPI262234:MPJ262235 MZE262234:MZF262235 NJA262234:NJB262235 NSW262234:NSX262235 OCS262234:OCT262235 OMO262234:OMP262235 OWK262234:OWL262235 PGG262234:PGH262235 PQC262234:PQD262235 PZY262234:PZZ262235 QJU262234:QJV262235 QTQ262234:QTR262235 RDM262234:RDN262235 RNI262234:RNJ262235 RXE262234:RXF262235 SHA262234:SHB262235 SQW262234:SQX262235 TAS262234:TAT262235 TKO262234:TKP262235 TUK262234:TUL262235 UEG262234:UEH262235 UOC262234:UOD262235 UXY262234:UXZ262235 VHU262234:VHV262235 VRQ262234:VRR262235 WBM262234:WBN262235 WLI262234:WLJ262235 WVE262234:WVF262235 C327770:D327771 IS327770:IT327771 SO327770:SP327771 ACK327770:ACL327771 AMG327770:AMH327771 AWC327770:AWD327771 BFY327770:BFZ327771 BPU327770:BPV327771 BZQ327770:BZR327771 CJM327770:CJN327771 CTI327770:CTJ327771 DDE327770:DDF327771 DNA327770:DNB327771 DWW327770:DWX327771 EGS327770:EGT327771 EQO327770:EQP327771 FAK327770:FAL327771 FKG327770:FKH327771 FUC327770:FUD327771 GDY327770:GDZ327771 GNU327770:GNV327771 GXQ327770:GXR327771 HHM327770:HHN327771 HRI327770:HRJ327771 IBE327770:IBF327771 ILA327770:ILB327771 IUW327770:IUX327771 JES327770:JET327771 JOO327770:JOP327771 JYK327770:JYL327771 KIG327770:KIH327771 KSC327770:KSD327771 LBY327770:LBZ327771 LLU327770:LLV327771 LVQ327770:LVR327771 MFM327770:MFN327771 MPI327770:MPJ327771 MZE327770:MZF327771 NJA327770:NJB327771 NSW327770:NSX327771 OCS327770:OCT327771 OMO327770:OMP327771 OWK327770:OWL327771 PGG327770:PGH327771 PQC327770:PQD327771 PZY327770:PZZ327771 QJU327770:QJV327771 QTQ327770:QTR327771 RDM327770:RDN327771 RNI327770:RNJ327771 RXE327770:RXF327771 SHA327770:SHB327771 SQW327770:SQX327771 TAS327770:TAT327771 TKO327770:TKP327771 TUK327770:TUL327771 UEG327770:UEH327771 UOC327770:UOD327771 UXY327770:UXZ327771 VHU327770:VHV327771 VRQ327770:VRR327771 WBM327770:WBN327771 WLI327770:WLJ327771 WVE327770:WVF327771 C393306:D393307 IS393306:IT393307 SO393306:SP393307 ACK393306:ACL393307 AMG393306:AMH393307 AWC393306:AWD393307 BFY393306:BFZ393307 BPU393306:BPV393307 BZQ393306:BZR393307 CJM393306:CJN393307 CTI393306:CTJ393307 DDE393306:DDF393307 DNA393306:DNB393307 DWW393306:DWX393307 EGS393306:EGT393307 EQO393306:EQP393307 FAK393306:FAL393307 FKG393306:FKH393307 FUC393306:FUD393307 GDY393306:GDZ393307 GNU393306:GNV393307 GXQ393306:GXR393307 HHM393306:HHN393307 HRI393306:HRJ393307 IBE393306:IBF393307 ILA393306:ILB393307 IUW393306:IUX393307 JES393306:JET393307 JOO393306:JOP393307 JYK393306:JYL393307 KIG393306:KIH393307 KSC393306:KSD393307 LBY393306:LBZ393307 LLU393306:LLV393307 LVQ393306:LVR393307 MFM393306:MFN393307 MPI393306:MPJ393307 MZE393306:MZF393307 NJA393306:NJB393307 NSW393306:NSX393307 OCS393306:OCT393307 OMO393306:OMP393307 OWK393306:OWL393307 PGG393306:PGH393307 PQC393306:PQD393307 PZY393306:PZZ393307 QJU393306:QJV393307 QTQ393306:QTR393307 RDM393306:RDN393307 RNI393306:RNJ393307 RXE393306:RXF393307 SHA393306:SHB393307 SQW393306:SQX393307 TAS393306:TAT393307 TKO393306:TKP393307 TUK393306:TUL393307 UEG393306:UEH393307 UOC393306:UOD393307 UXY393306:UXZ393307 VHU393306:VHV393307 VRQ393306:VRR393307 WBM393306:WBN393307 WLI393306:WLJ393307 WVE393306:WVF393307 C458842:D458843 IS458842:IT458843 SO458842:SP458843 ACK458842:ACL458843 AMG458842:AMH458843 AWC458842:AWD458843 BFY458842:BFZ458843 BPU458842:BPV458843 BZQ458842:BZR458843 CJM458842:CJN458843 CTI458842:CTJ458843 DDE458842:DDF458843 DNA458842:DNB458843 DWW458842:DWX458843 EGS458842:EGT458843 EQO458842:EQP458843 FAK458842:FAL458843 FKG458842:FKH458843 FUC458842:FUD458843 GDY458842:GDZ458843 GNU458842:GNV458843 GXQ458842:GXR458843 HHM458842:HHN458843 HRI458842:HRJ458843 IBE458842:IBF458843 ILA458842:ILB458843 IUW458842:IUX458843 JES458842:JET458843 JOO458842:JOP458843 JYK458842:JYL458843 KIG458842:KIH458843 KSC458842:KSD458843 LBY458842:LBZ458843 LLU458842:LLV458843 LVQ458842:LVR458843 MFM458842:MFN458843 MPI458842:MPJ458843 MZE458842:MZF458843 NJA458842:NJB458843 NSW458842:NSX458843 OCS458842:OCT458843 OMO458842:OMP458843 OWK458842:OWL458843 PGG458842:PGH458843 PQC458842:PQD458843 PZY458842:PZZ458843 QJU458842:QJV458843 QTQ458842:QTR458843 RDM458842:RDN458843 RNI458842:RNJ458843 RXE458842:RXF458843 SHA458842:SHB458843 SQW458842:SQX458843 TAS458842:TAT458843 TKO458842:TKP458843 TUK458842:TUL458843 UEG458842:UEH458843 UOC458842:UOD458843 UXY458842:UXZ458843 VHU458842:VHV458843 VRQ458842:VRR458843 WBM458842:WBN458843 WLI458842:WLJ458843 WVE458842:WVF458843 C524378:D524379 IS524378:IT524379 SO524378:SP524379 ACK524378:ACL524379 AMG524378:AMH524379 AWC524378:AWD524379 BFY524378:BFZ524379 BPU524378:BPV524379 BZQ524378:BZR524379 CJM524378:CJN524379 CTI524378:CTJ524379 DDE524378:DDF524379 DNA524378:DNB524379 DWW524378:DWX524379 EGS524378:EGT524379 EQO524378:EQP524379 FAK524378:FAL524379 FKG524378:FKH524379 FUC524378:FUD524379 GDY524378:GDZ524379 GNU524378:GNV524379 GXQ524378:GXR524379 HHM524378:HHN524379 HRI524378:HRJ524379 IBE524378:IBF524379 ILA524378:ILB524379 IUW524378:IUX524379 JES524378:JET524379 JOO524378:JOP524379 JYK524378:JYL524379 KIG524378:KIH524379 KSC524378:KSD524379 LBY524378:LBZ524379 LLU524378:LLV524379 LVQ524378:LVR524379 MFM524378:MFN524379 MPI524378:MPJ524379 MZE524378:MZF524379 NJA524378:NJB524379 NSW524378:NSX524379 OCS524378:OCT524379 OMO524378:OMP524379 OWK524378:OWL524379 PGG524378:PGH524379 PQC524378:PQD524379 PZY524378:PZZ524379 QJU524378:QJV524379 QTQ524378:QTR524379 RDM524378:RDN524379 RNI524378:RNJ524379 RXE524378:RXF524379 SHA524378:SHB524379 SQW524378:SQX524379 TAS524378:TAT524379 TKO524378:TKP524379 TUK524378:TUL524379 UEG524378:UEH524379 UOC524378:UOD524379 UXY524378:UXZ524379 VHU524378:VHV524379 VRQ524378:VRR524379 WBM524378:WBN524379 WLI524378:WLJ524379 WVE524378:WVF524379 C589914:D589915 IS589914:IT589915 SO589914:SP589915 ACK589914:ACL589915 AMG589914:AMH589915 AWC589914:AWD589915 BFY589914:BFZ589915 BPU589914:BPV589915 BZQ589914:BZR589915 CJM589914:CJN589915 CTI589914:CTJ589915 DDE589914:DDF589915 DNA589914:DNB589915 DWW589914:DWX589915 EGS589914:EGT589915 EQO589914:EQP589915 FAK589914:FAL589915 FKG589914:FKH589915 FUC589914:FUD589915 GDY589914:GDZ589915 GNU589914:GNV589915 GXQ589914:GXR589915 HHM589914:HHN589915 HRI589914:HRJ589915 IBE589914:IBF589915 ILA589914:ILB589915 IUW589914:IUX589915 JES589914:JET589915 JOO589914:JOP589915 JYK589914:JYL589915 KIG589914:KIH589915 KSC589914:KSD589915 LBY589914:LBZ589915 LLU589914:LLV589915 LVQ589914:LVR589915 MFM589914:MFN589915 MPI589914:MPJ589915 MZE589914:MZF589915 NJA589914:NJB589915 NSW589914:NSX589915 OCS589914:OCT589915 OMO589914:OMP589915 OWK589914:OWL589915 PGG589914:PGH589915 PQC589914:PQD589915 PZY589914:PZZ589915 QJU589914:QJV589915 QTQ589914:QTR589915 RDM589914:RDN589915 RNI589914:RNJ589915 RXE589914:RXF589915 SHA589914:SHB589915 SQW589914:SQX589915 TAS589914:TAT589915 TKO589914:TKP589915 TUK589914:TUL589915 UEG589914:UEH589915 UOC589914:UOD589915 UXY589914:UXZ589915 VHU589914:VHV589915 VRQ589914:VRR589915 WBM589914:WBN589915 WLI589914:WLJ589915 WVE589914:WVF589915 C655450:D655451 IS655450:IT655451 SO655450:SP655451 ACK655450:ACL655451 AMG655450:AMH655451 AWC655450:AWD655451 BFY655450:BFZ655451 BPU655450:BPV655451 BZQ655450:BZR655451 CJM655450:CJN655451 CTI655450:CTJ655451 DDE655450:DDF655451 DNA655450:DNB655451 DWW655450:DWX655451 EGS655450:EGT655451 EQO655450:EQP655451 FAK655450:FAL655451 FKG655450:FKH655451 FUC655450:FUD655451 GDY655450:GDZ655451 GNU655450:GNV655451 GXQ655450:GXR655451 HHM655450:HHN655451 HRI655450:HRJ655451 IBE655450:IBF655451 ILA655450:ILB655451 IUW655450:IUX655451 JES655450:JET655451 JOO655450:JOP655451 JYK655450:JYL655451 KIG655450:KIH655451 KSC655450:KSD655451 LBY655450:LBZ655451 LLU655450:LLV655451 LVQ655450:LVR655451 MFM655450:MFN655451 MPI655450:MPJ655451 MZE655450:MZF655451 NJA655450:NJB655451 NSW655450:NSX655451 OCS655450:OCT655451 OMO655450:OMP655451 OWK655450:OWL655451 PGG655450:PGH655451 PQC655450:PQD655451 PZY655450:PZZ655451 QJU655450:QJV655451 QTQ655450:QTR655451 RDM655450:RDN655451 RNI655450:RNJ655451 RXE655450:RXF655451 SHA655450:SHB655451 SQW655450:SQX655451 TAS655450:TAT655451 TKO655450:TKP655451 TUK655450:TUL655451 UEG655450:UEH655451 UOC655450:UOD655451 UXY655450:UXZ655451 VHU655450:VHV655451 VRQ655450:VRR655451 WBM655450:WBN655451 WLI655450:WLJ655451 WVE655450:WVF655451 C720986:D720987 IS720986:IT720987 SO720986:SP720987 ACK720986:ACL720987 AMG720986:AMH720987 AWC720986:AWD720987 BFY720986:BFZ720987 BPU720986:BPV720987 BZQ720986:BZR720987 CJM720986:CJN720987 CTI720986:CTJ720987 DDE720986:DDF720987 DNA720986:DNB720987 DWW720986:DWX720987 EGS720986:EGT720987 EQO720986:EQP720987 FAK720986:FAL720987 FKG720986:FKH720987 FUC720986:FUD720987 GDY720986:GDZ720987 GNU720986:GNV720987 GXQ720986:GXR720987 HHM720986:HHN720987 HRI720986:HRJ720987 IBE720986:IBF720987 ILA720986:ILB720987 IUW720986:IUX720987 JES720986:JET720987 JOO720986:JOP720987 JYK720986:JYL720987 KIG720986:KIH720987 KSC720986:KSD720987 LBY720986:LBZ720987 LLU720986:LLV720987 LVQ720986:LVR720987 MFM720986:MFN720987 MPI720986:MPJ720987 MZE720986:MZF720987 NJA720986:NJB720987 NSW720986:NSX720987 OCS720986:OCT720987 OMO720986:OMP720987 OWK720986:OWL720987 PGG720986:PGH720987 PQC720986:PQD720987 PZY720986:PZZ720987 QJU720986:QJV720987 QTQ720986:QTR720987 RDM720986:RDN720987 RNI720986:RNJ720987 RXE720986:RXF720987 SHA720986:SHB720987 SQW720986:SQX720987 TAS720986:TAT720987 TKO720986:TKP720987 TUK720986:TUL720987 UEG720986:UEH720987 UOC720986:UOD720987 UXY720986:UXZ720987 VHU720986:VHV720987 VRQ720986:VRR720987 WBM720986:WBN720987 WLI720986:WLJ720987 WVE720986:WVF720987 C786522:D786523 IS786522:IT786523 SO786522:SP786523 ACK786522:ACL786523 AMG786522:AMH786523 AWC786522:AWD786523 BFY786522:BFZ786523 BPU786522:BPV786523 BZQ786522:BZR786523 CJM786522:CJN786523 CTI786522:CTJ786523 DDE786522:DDF786523 DNA786522:DNB786523 DWW786522:DWX786523 EGS786522:EGT786523 EQO786522:EQP786523 FAK786522:FAL786523 FKG786522:FKH786523 FUC786522:FUD786523 GDY786522:GDZ786523 GNU786522:GNV786523 GXQ786522:GXR786523 HHM786522:HHN786523 HRI786522:HRJ786523 IBE786522:IBF786523 ILA786522:ILB786523 IUW786522:IUX786523 JES786522:JET786523 JOO786522:JOP786523 JYK786522:JYL786523 KIG786522:KIH786523 KSC786522:KSD786523 LBY786522:LBZ786523 LLU786522:LLV786523 LVQ786522:LVR786523 MFM786522:MFN786523 MPI786522:MPJ786523 MZE786522:MZF786523 NJA786522:NJB786523 NSW786522:NSX786523 OCS786522:OCT786523 OMO786522:OMP786523 OWK786522:OWL786523 PGG786522:PGH786523 PQC786522:PQD786523 PZY786522:PZZ786523 QJU786522:QJV786523 QTQ786522:QTR786523 RDM786522:RDN786523 RNI786522:RNJ786523 RXE786522:RXF786523 SHA786522:SHB786523 SQW786522:SQX786523 TAS786522:TAT786523 TKO786522:TKP786523 TUK786522:TUL786523 UEG786522:UEH786523 UOC786522:UOD786523 UXY786522:UXZ786523 VHU786522:VHV786523 VRQ786522:VRR786523 WBM786522:WBN786523 WLI786522:WLJ786523 WVE786522:WVF786523 C852058:D852059 IS852058:IT852059 SO852058:SP852059 ACK852058:ACL852059 AMG852058:AMH852059 AWC852058:AWD852059 BFY852058:BFZ852059 BPU852058:BPV852059 BZQ852058:BZR852059 CJM852058:CJN852059 CTI852058:CTJ852059 DDE852058:DDF852059 DNA852058:DNB852059 DWW852058:DWX852059 EGS852058:EGT852059 EQO852058:EQP852059 FAK852058:FAL852059 FKG852058:FKH852059 FUC852058:FUD852059 GDY852058:GDZ852059 GNU852058:GNV852059 GXQ852058:GXR852059 HHM852058:HHN852059 HRI852058:HRJ852059 IBE852058:IBF852059 ILA852058:ILB852059 IUW852058:IUX852059 JES852058:JET852059 JOO852058:JOP852059 JYK852058:JYL852059 KIG852058:KIH852059 KSC852058:KSD852059 LBY852058:LBZ852059 LLU852058:LLV852059 LVQ852058:LVR852059 MFM852058:MFN852059 MPI852058:MPJ852059 MZE852058:MZF852059 NJA852058:NJB852059 NSW852058:NSX852059 OCS852058:OCT852059 OMO852058:OMP852059 OWK852058:OWL852059 PGG852058:PGH852059 PQC852058:PQD852059 PZY852058:PZZ852059 QJU852058:QJV852059 QTQ852058:QTR852059 RDM852058:RDN852059 RNI852058:RNJ852059 RXE852058:RXF852059 SHA852058:SHB852059 SQW852058:SQX852059 TAS852058:TAT852059 TKO852058:TKP852059 TUK852058:TUL852059 UEG852058:UEH852059 UOC852058:UOD852059 UXY852058:UXZ852059 VHU852058:VHV852059 VRQ852058:VRR852059 WBM852058:WBN852059 WLI852058:WLJ852059 WVE852058:WVF852059 C917594:D917595 IS917594:IT917595 SO917594:SP917595 ACK917594:ACL917595 AMG917594:AMH917595 AWC917594:AWD917595 BFY917594:BFZ917595 BPU917594:BPV917595 BZQ917594:BZR917595 CJM917594:CJN917595 CTI917594:CTJ917595 DDE917594:DDF917595 DNA917594:DNB917595 DWW917594:DWX917595 EGS917594:EGT917595 EQO917594:EQP917595 FAK917594:FAL917595 FKG917594:FKH917595 FUC917594:FUD917595 GDY917594:GDZ917595 GNU917594:GNV917595 GXQ917594:GXR917595 HHM917594:HHN917595 HRI917594:HRJ917595 IBE917594:IBF917595 ILA917594:ILB917595 IUW917594:IUX917595 JES917594:JET917595 JOO917594:JOP917595 JYK917594:JYL917595 KIG917594:KIH917595 KSC917594:KSD917595 LBY917594:LBZ917595 LLU917594:LLV917595 LVQ917594:LVR917595 MFM917594:MFN917595 MPI917594:MPJ917595 MZE917594:MZF917595 NJA917594:NJB917595 NSW917594:NSX917595 OCS917594:OCT917595 OMO917594:OMP917595 OWK917594:OWL917595 PGG917594:PGH917595 PQC917594:PQD917595 PZY917594:PZZ917595 QJU917594:QJV917595 QTQ917594:QTR917595 RDM917594:RDN917595 RNI917594:RNJ917595 RXE917594:RXF917595 SHA917594:SHB917595 SQW917594:SQX917595 TAS917594:TAT917595 TKO917594:TKP917595 TUK917594:TUL917595 UEG917594:UEH917595 UOC917594:UOD917595 UXY917594:UXZ917595 VHU917594:VHV917595 VRQ917594:VRR917595 WBM917594:WBN917595 WLI917594:WLJ917595 WVE917594:WVF917595 C983130:D983131 IS983130:IT983131 SO983130:SP983131 ACK983130:ACL983131 AMG983130:AMH983131 AWC983130:AWD983131 BFY983130:BFZ983131 BPU983130:BPV983131 BZQ983130:BZR983131 CJM983130:CJN983131 CTI983130:CTJ983131 DDE983130:DDF983131 DNA983130:DNB983131 DWW983130:DWX983131 EGS983130:EGT983131 EQO983130:EQP983131 FAK983130:FAL983131 FKG983130:FKH983131 FUC983130:FUD983131 GDY983130:GDZ983131 GNU983130:GNV983131 GXQ983130:GXR983131 HHM983130:HHN983131 HRI983130:HRJ983131 IBE983130:IBF983131 ILA983130:ILB983131 IUW983130:IUX983131 JES983130:JET983131 JOO983130:JOP983131 JYK983130:JYL983131 KIG983130:KIH983131 KSC983130:KSD983131 LBY983130:LBZ983131 LLU983130:LLV983131 LVQ983130:LVR983131 MFM983130:MFN983131 MPI983130:MPJ983131 MZE983130:MZF983131 NJA983130:NJB983131 NSW983130:NSX983131 OCS983130:OCT983131 OMO983130:OMP983131 OWK983130:OWL983131 PGG983130:PGH983131 PQC983130:PQD983131 PZY983130:PZZ983131 QJU983130:QJV983131 QTQ983130:QTR983131 RDM983130:RDN983131 RNI983130:RNJ983131 RXE983130:RXF983131 SHA983130:SHB983131 SQW983130:SQX983131 TAS983130:TAT983131 TKO983130:TKP983131 TUK983130:TUL983131 UEG983130:UEH983131 UOC983130:UOD983131 UXY983130:UXZ983131 VHU983130:VHV983131 VRQ983130:VRR983131 WBM983130:WBN983131 WLI983130:WLJ983131 WVE983130:WVF983131 WVF983069 WLJ983069 WBN983069 VRR983069 VHV983069 UXZ983069 UOD983069 UEH983069 TUL983069 TKP983069 TAT983069 SQX983069 SHB983069 RXF983069 RNJ983069 RDN983069 QTR983069 QJV983069 PZZ983069 PQD983069 PGH983069 OWL983069 OMP983069 OCT983069 NSX983069 NJB983069 MZF983069 MPJ983069 MFN983069 LVR983069 LLV983069 LBZ983069 KSD983069 KIH983069 JYL983069 JOP983069 JET983069 IUX983069 ILB983069 IBF983069 HRJ983069 HHN983069 GXR983069 GNV983069 GDZ983069 FUD983069 FKH983069 FAL983069 EQP983069 EGT983069 DWX983069 DNB983069 DDF983069 CTJ983069 CJN983069 BZR983069 BPV983069 BFZ983069 AWD983069 AMH983069 ACL983069 SP983069 IT983069 D983069 WVF917533 WLJ917533 WBN917533 VRR917533 VHV917533 UXZ917533 UOD917533 UEH917533 TUL917533 TKP917533 TAT917533 SQX917533 SHB917533 RXF917533 RNJ917533 RDN917533 QTR917533 QJV917533 PZZ917533 PQD917533 PGH917533 OWL917533 OMP917533 OCT917533 NSX917533 NJB917533 MZF917533 MPJ917533 MFN917533 LVR917533 LLV917533 LBZ917533 KSD917533 KIH917533 JYL917533 JOP917533 JET917533 IUX917533 ILB917533 IBF917533 HRJ917533 HHN917533 GXR917533 GNV917533 GDZ917533 FUD917533 FKH917533 FAL917533 EQP917533 EGT917533 DWX917533 DNB917533 DDF917533 CTJ917533 CJN917533 BZR917533 BPV917533 BFZ917533 AWD917533 AMH917533 ACL917533 SP917533 IT917533 D917533 WVF851997 WLJ851997 WBN851997 VRR851997 VHV851997 UXZ851997 UOD851997 UEH851997 TUL851997 TKP851997 TAT851997 SQX851997 SHB851997 RXF851997 RNJ851997 RDN851997 QTR851997 QJV851997 PZZ851997 PQD851997 PGH851997 OWL851997 OMP851997 OCT851997 NSX851997 NJB851997 MZF851997 MPJ851997 MFN851997 LVR851997 LLV851997 LBZ851997 KSD851997 KIH851997 JYL851997 JOP851997 JET851997 IUX851997 ILB851997 IBF851997 HRJ851997 HHN851997 GXR851997 GNV851997 GDZ851997 FUD851997 FKH851997 FAL851997 EQP851997 EGT851997 DWX851997 DNB851997 DDF851997 CTJ851997 CJN851997 BZR851997 BPV851997 BFZ851997 AWD851997 AMH851997 ACL851997 SP851997 IT851997 D851997 WVF786461 WLJ786461 WBN786461 VRR786461 VHV786461 UXZ786461 UOD786461 UEH786461 TUL786461 TKP786461 TAT786461 SQX786461 SHB786461 RXF786461 RNJ786461 RDN786461 QTR786461 QJV786461 PZZ786461 PQD786461 PGH786461 OWL786461 OMP786461 OCT786461 NSX786461 NJB786461 MZF786461 MPJ786461 MFN786461 LVR786461 LLV786461 LBZ786461 KSD786461 KIH786461 JYL786461 JOP786461 JET786461 IUX786461 ILB786461 IBF786461 HRJ786461 HHN786461 GXR786461 GNV786461 GDZ786461 FUD786461 FKH786461 FAL786461 EQP786461 EGT786461 DWX786461 DNB786461 DDF786461 CTJ786461 CJN786461 BZR786461 BPV786461 BFZ786461 AWD786461 AMH786461 ACL786461 SP786461 IT786461 D786461 WVF720925 WLJ720925 WBN720925 VRR720925 VHV720925 UXZ720925 UOD720925 UEH720925 TUL720925 TKP720925 TAT720925 SQX720925 SHB720925 RXF720925 RNJ720925 RDN720925 QTR720925 QJV720925 PZZ720925 PQD720925 PGH720925 OWL720925 OMP720925 OCT720925 NSX720925 NJB720925 MZF720925 MPJ720925 MFN720925 LVR720925 LLV720925 LBZ720925 KSD720925 KIH720925 JYL720925 JOP720925 JET720925 IUX720925 ILB720925 IBF720925 HRJ720925 HHN720925 GXR720925 GNV720925 GDZ720925 FUD720925 FKH720925 FAL720925 EQP720925 EGT720925 DWX720925 DNB720925 DDF720925 CTJ720925 CJN720925 BZR720925 BPV720925 BFZ720925 AWD720925 AMH720925 ACL720925 SP720925 IT720925 D720925 WVF655389 WLJ655389 WBN655389 VRR655389 VHV655389 UXZ655389 UOD655389 UEH655389 TUL655389 TKP655389 TAT655389 SQX655389 SHB655389 RXF655389 RNJ655389 RDN655389 QTR655389 QJV655389 PZZ655389 PQD655389 PGH655389 OWL655389 OMP655389 OCT655389 NSX655389 NJB655389 MZF655389 MPJ655389 MFN655389 LVR655389 LLV655389 LBZ655389 KSD655389 KIH655389 JYL655389 JOP655389 JET655389 IUX655389 ILB655389 IBF655389 HRJ655389 HHN655389 GXR655389 GNV655389 GDZ655389 FUD655389 FKH655389 FAL655389 EQP655389 EGT655389 DWX655389 DNB655389 DDF655389 CTJ655389 CJN655389 BZR655389 BPV655389 BFZ655389 AWD655389 AMH655389 ACL655389 SP655389 IT655389 D655389 WVF589853 WLJ589853 WBN589853 VRR589853 VHV589853 UXZ589853 UOD589853 UEH589853 TUL589853 TKP589853 TAT589853 SQX589853 SHB589853 RXF589853 RNJ589853 RDN589853 QTR589853 QJV589853 PZZ589853 PQD589853 PGH589853 OWL589853 OMP589853 OCT589853 NSX589853 NJB589853 MZF589853 MPJ589853 MFN589853 LVR589853 LLV589853 LBZ589853 KSD589853 KIH589853 JYL589853 JOP589853 JET589853 IUX589853 ILB589853 IBF589853 HRJ589853 HHN589853 GXR589853 GNV589853 GDZ589853 FUD589853 FKH589853 FAL589853 EQP589853 EGT589853 DWX589853 DNB589853 DDF589853 CTJ589853 CJN589853 BZR589853 BPV589853 BFZ589853 AWD589853 AMH589853 ACL589853 SP589853 IT589853 D589853 WVF524317 WLJ524317 WBN524317 VRR524317 VHV524317 UXZ524317 UOD524317 UEH524317 TUL524317 TKP524317 TAT524317 SQX524317 SHB524317 RXF524317 RNJ524317 RDN524317 QTR524317 QJV524317 PZZ524317 PQD524317 PGH524317 OWL524317 OMP524317 OCT524317 NSX524317 NJB524317 MZF524317 MPJ524317 MFN524317 LVR524317 LLV524317 LBZ524317 KSD524317 KIH524317 JYL524317 JOP524317 JET524317 IUX524317 ILB524317 IBF524317 HRJ524317 HHN524317 GXR524317 GNV524317 GDZ524317 FUD524317 FKH524317 FAL524317 EQP524317 EGT524317 DWX524317 DNB524317 DDF524317 CTJ524317 CJN524317 BZR524317 BPV524317 BFZ524317 AWD524317 AMH524317 ACL524317 SP524317 IT524317 D524317 WVF458781 WLJ458781 WBN458781 VRR458781 VHV458781 UXZ458781 UOD458781 UEH458781 TUL458781 TKP458781 TAT458781 SQX458781 SHB458781 RXF458781 RNJ458781 RDN458781 QTR458781 QJV458781 PZZ458781 PQD458781 PGH458781 OWL458781 OMP458781 OCT458781 NSX458781 NJB458781 MZF458781 MPJ458781 MFN458781 LVR458781 LLV458781 LBZ458781 KSD458781 KIH458781 JYL458781 JOP458781 JET458781 IUX458781 ILB458781 IBF458781 HRJ458781 HHN458781 GXR458781 GNV458781 GDZ458781 FUD458781 FKH458781 FAL458781 EQP458781 EGT458781 DWX458781 DNB458781 DDF458781 CTJ458781 CJN458781 BZR458781 BPV458781 BFZ458781 AWD458781 AMH458781 ACL458781 SP458781 IT458781 D458781 WVF393245 WLJ393245 WBN393245 VRR393245 VHV393245 UXZ393245 UOD393245 UEH393245 TUL393245 TKP393245 TAT393245 SQX393245 SHB393245 RXF393245 RNJ393245 RDN393245 QTR393245 QJV393245 PZZ393245 PQD393245 PGH393245 OWL393245 OMP393245 OCT393245 NSX393245 NJB393245 MZF393245 MPJ393245 MFN393245 LVR393245 LLV393245 LBZ393245 KSD393245 KIH393245 JYL393245 JOP393245 JET393245 IUX393245 ILB393245 IBF393245 HRJ393245 HHN393245 GXR393245 GNV393245 GDZ393245 FUD393245 FKH393245 FAL393245 EQP393245 EGT393245 DWX393245 DNB393245 DDF393245 CTJ393245 CJN393245 BZR393245 BPV393245 BFZ393245 AWD393245 AMH393245 ACL393245 SP393245 IT393245 D393245 WVF327709 WLJ327709 WBN327709 VRR327709 VHV327709 UXZ327709 UOD327709 UEH327709 TUL327709 TKP327709 TAT327709 SQX327709 SHB327709 RXF327709 RNJ327709 RDN327709 QTR327709 QJV327709 PZZ327709 PQD327709 PGH327709 OWL327709 OMP327709 OCT327709 NSX327709 NJB327709 MZF327709 MPJ327709 MFN327709 LVR327709 LLV327709 LBZ327709 KSD327709 KIH327709 JYL327709 JOP327709 JET327709 IUX327709 ILB327709 IBF327709 HRJ327709 HHN327709 GXR327709 GNV327709 GDZ327709 FUD327709 FKH327709 FAL327709 EQP327709 EGT327709 DWX327709 DNB327709 DDF327709 CTJ327709 CJN327709 BZR327709 BPV327709 BFZ327709 AWD327709 AMH327709 ACL327709 SP327709 IT327709 D327709 WVF262173 WLJ262173 WBN262173 VRR262173 VHV262173 UXZ262173 UOD262173 UEH262173 TUL262173 TKP262173 TAT262173 SQX262173 SHB262173 RXF262173 RNJ262173 RDN262173 QTR262173 QJV262173 PZZ262173 PQD262173 PGH262173 OWL262173 OMP262173 OCT262173 NSX262173 NJB262173 MZF262173 MPJ262173 MFN262173 LVR262173 LLV262173 LBZ262173 KSD262173 KIH262173 JYL262173 JOP262173 JET262173 IUX262173 ILB262173 IBF262173 HRJ262173 HHN262173 GXR262173 GNV262173 GDZ262173 FUD262173 FKH262173 FAL262173 EQP262173 EGT262173 DWX262173 DNB262173 DDF262173 CTJ262173 CJN262173 BZR262173 BPV262173 BFZ262173 AWD262173 AMH262173 ACL262173 SP262173 IT262173 D262173 WVF196637 WLJ196637 WBN196637 VRR196637 VHV196637 UXZ196637 UOD196637 UEH196637 TUL196637 TKP196637 TAT196637 SQX196637 SHB196637 RXF196637 RNJ196637 RDN196637 QTR196637 QJV196637 PZZ196637 PQD196637 PGH196637 OWL196637 OMP196637 OCT196637 NSX196637 NJB196637 MZF196637 MPJ196637 MFN196637 LVR196637 LLV196637 LBZ196637 KSD196637 KIH196637 JYL196637 JOP196637 JET196637 IUX196637 ILB196637 IBF196637 HRJ196637 HHN196637 GXR196637 GNV196637 GDZ196637 FUD196637 FKH196637 FAL196637 EQP196637 EGT196637 DWX196637 DNB196637 DDF196637 CTJ196637 CJN196637 BZR196637 BPV196637 BFZ196637 AWD196637 AMH196637 ACL196637 SP196637 IT196637 D196637 WVF131101 WLJ131101 WBN131101 VRR131101 VHV131101 UXZ131101 UOD131101 UEH131101 TUL131101 TKP131101 TAT131101 SQX131101 SHB131101 RXF131101 RNJ131101 RDN131101 QTR131101 QJV131101 PZZ131101 PQD131101 PGH131101 OWL131101 OMP131101 OCT131101 NSX131101 NJB131101 MZF131101 MPJ131101 MFN131101 LVR131101 LLV131101 LBZ131101 KSD131101 KIH131101 JYL131101 JOP131101 JET131101 IUX131101 ILB131101 IBF131101 HRJ131101 HHN131101 GXR131101 GNV131101 GDZ131101 FUD131101 FKH131101 FAL131101 EQP131101 EGT131101 DWX131101 DNB131101 DDF131101 CTJ131101 CJN131101 BZR131101 BPV131101 BFZ131101 AWD131101 AMH131101 ACL131101 SP131101 IT131101 D131101 WVF65565 WLJ65565 WBN65565 VRR65565 VHV65565 UXZ65565 UOD65565 UEH65565 TUL65565 TKP65565 TAT65565 SQX65565 SHB65565 RXF65565 RNJ65565 RDN65565 QTR65565 QJV65565 PZZ65565 PQD65565 PGH65565 OWL65565 OMP65565 OCT65565 NSX65565 NJB65565 MZF65565 MPJ65565 MFN65565 LVR65565 LLV65565 LBZ65565 KSD65565 KIH65565 JYL65565 JOP65565 JET65565 IUX65565 ILB65565 IBF65565 HRJ65565 HHN65565 GXR65565 GNV65565 GDZ65565 FUD65565 FKH65565 FAL65565 EQP65565 EGT65565 DWX65565 DNB65565 DDF65565 CTJ65565 CJN65565 BZR65565 BPV65565 BFZ65565 AWD65565 AMH65565 ACL65565 SP65565 IT65565 D65565 WVF24 WLJ24 WBN24 VRR24 VHV24 UXZ24 UOD24 UEH24 TUL24 TKP24 TAT24 SQX24 SHB24 RXF24 RNJ24 RDN24 QTR24 QJV24 PZZ24 PQD24 PGH24 OWL24 OMP24 OCT24 NSX24 NJB24 MZF24 MPJ24 MFN24 LVR24 LLV24 LBZ24 KSD24 KIH24 JYL24 JOP24 JET24 IUX24 ILB24 IBF24 HRJ24 HHN24 GXR24 GNV24 GDZ24 FUD24 FKH24 FAL24 EQP24 EGT24 DWX24 DNB24 DDF24 CTJ24 CJN24 BZR24 BPV24 BFZ24 AWD24 AMH24 ACL24 SP24 IT24 WVF983087 WLJ983087 WBN983087 VRR983087 VHV983087 UXZ983087 UOD983087 UEH983087 TUL983087 TKP983087 TAT983087 SQX983087 SHB983087 RXF983087 RNJ983087 RDN983087 QTR983087 QJV983087 PZZ983087 PQD983087 PGH983087 OWL983087 OMP983087 OCT983087 NSX983087 NJB983087 MZF983087 MPJ983087 MFN983087 LVR983087 LLV983087 LBZ983087 KSD983087 KIH983087 JYL983087 JOP983087 JET983087 IUX983087 ILB983087 IBF983087 HRJ983087 HHN983087 GXR983087 GNV983087 GDZ983087 FUD983087 FKH983087 FAL983087 EQP983087 EGT983087 DWX983087 DNB983087 DDF983087 CTJ983087 CJN983087 BZR983087 BPV983087 BFZ983087 AWD983087 AMH983087 ACL983087 SP983087 IT983087 D983087 WVF917551 WLJ917551 WBN917551 VRR917551 VHV917551 UXZ917551 UOD917551 UEH917551 TUL917551 TKP917551 TAT917551 SQX917551 SHB917551 RXF917551 RNJ917551 RDN917551 QTR917551 QJV917551 PZZ917551 PQD917551 PGH917551 OWL917551 OMP917551 OCT917551 NSX917551 NJB917551 MZF917551 MPJ917551 MFN917551 LVR917551 LLV917551 LBZ917551 KSD917551 KIH917551 JYL917551 JOP917551 JET917551 IUX917551 ILB917551 IBF917551 HRJ917551 HHN917551 GXR917551 GNV917551 GDZ917551 FUD917551 FKH917551 FAL917551 EQP917551 EGT917551 DWX917551 DNB917551 DDF917551 CTJ917551 CJN917551 BZR917551 BPV917551 BFZ917551 AWD917551 AMH917551 ACL917551 SP917551 IT917551 D917551 WVF852015 WLJ852015 WBN852015 VRR852015 VHV852015 UXZ852015 UOD852015 UEH852015 TUL852015 TKP852015 TAT852015 SQX852015 SHB852015 RXF852015 RNJ852015 RDN852015 QTR852015 QJV852015 PZZ852015 PQD852015 PGH852015 OWL852015 OMP852015 OCT852015 NSX852015 NJB852015 MZF852015 MPJ852015 MFN852015 LVR852015 LLV852015 LBZ852015 KSD852015 KIH852015 JYL852015 JOP852015 JET852015 IUX852015 ILB852015 IBF852015 HRJ852015 HHN852015 GXR852015 GNV852015 GDZ852015 FUD852015 FKH852015 FAL852015 EQP852015 EGT852015 DWX852015 DNB852015 DDF852015 CTJ852015 CJN852015 BZR852015 BPV852015 BFZ852015 AWD852015 AMH852015 ACL852015 SP852015 IT852015 D852015 WVF786479 WLJ786479 WBN786479 VRR786479 VHV786479 UXZ786479 UOD786479 UEH786479 TUL786479 TKP786479 TAT786479 SQX786479 SHB786479 RXF786479 RNJ786479 RDN786479 QTR786479 QJV786479 PZZ786479 PQD786479 PGH786479 OWL786479 OMP786479 OCT786479 NSX786479 NJB786479 MZF786479 MPJ786479 MFN786479 LVR786479 LLV786479 LBZ786479 KSD786479 KIH786479 JYL786479 JOP786479 JET786479 IUX786479 ILB786479 IBF786479 HRJ786479 HHN786479 GXR786479 GNV786479 GDZ786479 FUD786479 FKH786479 FAL786479 EQP786479 EGT786479 DWX786479 DNB786479 DDF786479 CTJ786479 CJN786479 BZR786479 BPV786479 BFZ786479 AWD786479 AMH786479 ACL786479 SP786479 IT786479 D786479 WVF720943 WLJ720943 WBN720943 VRR720943 VHV720943 UXZ720943 UOD720943 UEH720943 TUL720943 TKP720943 TAT720943 SQX720943 SHB720943 RXF720943 RNJ720943 RDN720943 QTR720943 QJV720943 PZZ720943 PQD720943 PGH720943 OWL720943 OMP720943 OCT720943 NSX720943 NJB720943 MZF720943 MPJ720943 MFN720943 LVR720943 LLV720943 LBZ720943 KSD720943 KIH720943 JYL720943 JOP720943 JET720943 IUX720943 ILB720943 IBF720943 HRJ720943 HHN720943 GXR720943 GNV720943 GDZ720943 FUD720943 FKH720943 FAL720943 EQP720943 EGT720943 DWX720943 DNB720943 DDF720943 CTJ720943 CJN720943 BZR720943 BPV720943 BFZ720943 AWD720943 AMH720943 ACL720943 SP720943 IT720943 D720943 WVF655407 WLJ655407 WBN655407 VRR655407 VHV655407 UXZ655407 UOD655407 UEH655407 TUL655407 TKP655407 TAT655407 SQX655407 SHB655407 RXF655407 RNJ655407 RDN655407 QTR655407 QJV655407 PZZ655407 PQD655407 PGH655407 OWL655407 OMP655407 OCT655407 NSX655407 NJB655407 MZF655407 MPJ655407 MFN655407 LVR655407 LLV655407 LBZ655407 KSD655407 KIH655407 JYL655407 JOP655407 JET655407 IUX655407 ILB655407 IBF655407 HRJ655407 HHN655407 GXR655407 GNV655407 GDZ655407 FUD655407 FKH655407 FAL655407 EQP655407 EGT655407 DWX655407 DNB655407 DDF655407 CTJ655407 CJN655407 BZR655407 BPV655407 BFZ655407 AWD655407 AMH655407 ACL655407 SP655407 IT655407 D655407 WVF589871 WLJ589871 WBN589871 VRR589871 VHV589871 UXZ589871 UOD589871 UEH589871 TUL589871 TKP589871 TAT589871 SQX589871 SHB589871 RXF589871 RNJ589871 RDN589871 QTR589871 QJV589871 PZZ589871 PQD589871 PGH589871 OWL589871 OMP589871 OCT589871 NSX589871 NJB589871 MZF589871 MPJ589871 MFN589871 LVR589871 LLV589871 LBZ589871 KSD589871 KIH589871 JYL589871 JOP589871 JET589871 IUX589871 ILB589871 IBF589871 HRJ589871 HHN589871 GXR589871 GNV589871 GDZ589871 FUD589871 FKH589871 FAL589871 EQP589871 EGT589871 DWX589871 DNB589871 DDF589871 CTJ589871 CJN589871 BZR589871 BPV589871 BFZ589871 AWD589871 AMH589871 ACL589871 SP589871 IT589871 D589871 WVF524335 WLJ524335 WBN524335 VRR524335 VHV524335 UXZ524335 UOD524335 UEH524335 TUL524335 TKP524335 TAT524335 SQX524335 SHB524335 RXF524335 RNJ524335 RDN524335 QTR524335 QJV524335 PZZ524335 PQD524335 PGH524335 OWL524335 OMP524335 OCT524335 NSX524335 NJB524335 MZF524335 MPJ524335 MFN524335 LVR524335 LLV524335 LBZ524335 KSD524335 KIH524335 JYL524335 JOP524335 JET524335 IUX524335 ILB524335 IBF524335 HRJ524335 HHN524335 GXR524335 GNV524335 GDZ524335 FUD524335 FKH524335 FAL524335 EQP524335 EGT524335 DWX524335 DNB524335 DDF524335 CTJ524335 CJN524335 BZR524335 BPV524335 BFZ524335 AWD524335 AMH524335 ACL524335 SP524335 IT524335 D524335 WVF458799 WLJ458799 WBN458799 VRR458799 VHV458799 UXZ458799 UOD458799 UEH458799 TUL458799 TKP458799 TAT458799 SQX458799 SHB458799 RXF458799 RNJ458799 RDN458799 QTR458799 QJV458799 PZZ458799 PQD458799 PGH458799 OWL458799 OMP458799 OCT458799 NSX458799 NJB458799 MZF458799 MPJ458799 MFN458799 LVR458799 LLV458799 LBZ458799 KSD458799 KIH458799 JYL458799 JOP458799 JET458799 IUX458799 ILB458799 IBF458799 HRJ458799 HHN458799 GXR458799 GNV458799 GDZ458799 FUD458799 FKH458799 FAL458799 EQP458799 EGT458799 DWX458799 DNB458799 DDF458799 CTJ458799 CJN458799 BZR458799 BPV458799 BFZ458799 AWD458799 AMH458799 ACL458799 SP458799 IT458799 D458799 WVF393263 WLJ393263 WBN393263 VRR393263 VHV393263 UXZ393263 UOD393263 UEH393263 TUL393263 TKP393263 TAT393263 SQX393263 SHB393263 RXF393263 RNJ393263 RDN393263 QTR393263 QJV393263 PZZ393263 PQD393263 PGH393263 OWL393263 OMP393263 OCT393263 NSX393263 NJB393263 MZF393263 MPJ393263 MFN393263 LVR393263 LLV393263 LBZ393263 KSD393263 KIH393263 JYL393263 JOP393263 JET393263 IUX393263 ILB393263 IBF393263 HRJ393263 HHN393263 GXR393263 GNV393263 GDZ393263 FUD393263 FKH393263 FAL393263 EQP393263 EGT393263 DWX393263 DNB393263 DDF393263 CTJ393263 CJN393263 BZR393263 BPV393263 BFZ393263 AWD393263 AMH393263 ACL393263 SP393263 IT393263 D393263 WVF327727 WLJ327727 WBN327727 VRR327727 VHV327727 UXZ327727 UOD327727 UEH327727 TUL327727 TKP327727 TAT327727 SQX327727 SHB327727 RXF327727 RNJ327727 RDN327727 QTR327727 QJV327727 PZZ327727 PQD327727 PGH327727 OWL327727 OMP327727 OCT327727 NSX327727 NJB327727 MZF327727 MPJ327727 MFN327727 LVR327727 LLV327727 LBZ327727 KSD327727 KIH327727 JYL327727 JOP327727 JET327727 IUX327727 ILB327727 IBF327727 HRJ327727 HHN327727 GXR327727 GNV327727 GDZ327727 FUD327727 FKH327727 FAL327727 EQP327727 EGT327727 DWX327727 DNB327727 DDF327727 CTJ327727 CJN327727 BZR327727 BPV327727 BFZ327727 AWD327727 AMH327727 ACL327727 SP327727 IT327727 D327727 WVF262191 WLJ262191 WBN262191 VRR262191 VHV262191 UXZ262191 UOD262191 UEH262191 TUL262191 TKP262191 TAT262191 SQX262191 SHB262191 RXF262191 RNJ262191 RDN262191 QTR262191 QJV262191 PZZ262191 PQD262191 PGH262191 OWL262191 OMP262191 OCT262191 NSX262191 NJB262191 MZF262191 MPJ262191 MFN262191 LVR262191 LLV262191 LBZ262191 KSD262191 KIH262191 JYL262191 JOP262191 JET262191 IUX262191 ILB262191 IBF262191 HRJ262191 HHN262191 GXR262191 GNV262191 GDZ262191 FUD262191 FKH262191 FAL262191 EQP262191 EGT262191 DWX262191 DNB262191 DDF262191 CTJ262191 CJN262191 BZR262191 BPV262191 BFZ262191 AWD262191 AMH262191 ACL262191 SP262191 IT262191 D262191 WVF196655 WLJ196655 WBN196655 VRR196655 VHV196655 UXZ196655 UOD196655 UEH196655 TUL196655 TKP196655 TAT196655 SQX196655 SHB196655 RXF196655 RNJ196655 RDN196655 QTR196655 QJV196655 PZZ196655 PQD196655 PGH196655 OWL196655 OMP196655 OCT196655 NSX196655 NJB196655 MZF196655 MPJ196655 MFN196655 LVR196655 LLV196655 LBZ196655 KSD196655 KIH196655 JYL196655 JOP196655 JET196655 IUX196655 ILB196655 IBF196655 HRJ196655 HHN196655 GXR196655 GNV196655 GDZ196655 FUD196655 FKH196655 FAL196655 EQP196655 EGT196655 DWX196655 DNB196655 DDF196655 CTJ196655 CJN196655 BZR196655 BPV196655 BFZ196655 AWD196655 AMH196655 ACL196655 SP196655 IT196655 D196655 WVF131119 WLJ131119 WBN131119 VRR131119 VHV131119 UXZ131119 UOD131119 UEH131119 TUL131119 TKP131119 TAT131119 SQX131119 SHB131119 RXF131119 RNJ131119 RDN131119 QTR131119 QJV131119 PZZ131119 PQD131119 PGH131119 OWL131119 OMP131119 OCT131119 NSX131119 NJB131119 MZF131119 MPJ131119 MFN131119 LVR131119 LLV131119 LBZ131119 KSD131119 KIH131119 JYL131119 JOP131119 JET131119 IUX131119 ILB131119 IBF131119 HRJ131119 HHN131119 GXR131119 GNV131119 GDZ131119 FUD131119 FKH131119 FAL131119 EQP131119 EGT131119 DWX131119 DNB131119 DDF131119 CTJ131119 CJN131119 BZR131119 BPV131119 BFZ131119 AWD131119 AMH131119 ACL131119 SP131119 IT131119 D131119 WVF65583 WLJ65583 WBN65583 VRR65583 VHV65583 UXZ65583 UOD65583 UEH65583 TUL65583 TKP65583 TAT65583 SQX65583 SHB65583 RXF65583 RNJ65583 RDN65583 QTR65583 QJV65583 PZZ65583 PQD65583 PGH65583 OWL65583 OMP65583 OCT65583 NSX65583 NJB65583 MZF65583 MPJ65583 MFN65583 LVR65583 LLV65583 LBZ65583 KSD65583 KIH65583 JYL65583 JOP65583 JET65583 IUX65583 ILB65583 IBF65583 HRJ65583 HHN65583 GXR65583 GNV65583 GDZ65583 FUD65583 FKH65583 FAL65583 EQP65583 EGT65583 DWX65583 DNB65583 DDF65583 CTJ65583 CJN65583 BZR65583 BPV65583 BFZ65583 AWD65583 AMH65583 ACL65583 SP65583 IT65583 D65583 WVF42 WLJ42 WBN42 VRR42 VHV42 UXZ42 UOD42 UEH42 TUL42 TKP42 TAT42 SQX42 SHB42 RXF42 RNJ42 RDN42 QTR42 QJV42 PZZ42 PQD42 PGH42 OWL42 OMP42 OCT42 NSX42 NJB42 MZF42 MPJ42 MFN42 LVR42 LLV42 LBZ42 KSD42 KIH42 JYL42 JOP42 JET42 IUX42 ILB42 IBF42 HRJ42 HHN42 GXR42 GNV42 GDZ42 FUD42 FKH42 FAL42 EQP42 EGT42 DWX42 DNB42 DDF42 CTJ42 CJN42 BZR42 BPV42 BFZ42 AWD42 AMH42 ACL42 SP42 IT42 WVE983112:WVF983112 WLI983112:WLJ983112 WBM983112:WBN983112 VRQ983112:VRR983112 VHU983112:VHV983112 UXY983112:UXZ983112 UOC983112:UOD983112 UEG983112:UEH983112 TUK983112:TUL983112 TKO983112:TKP983112 TAS983112:TAT983112 SQW983112:SQX983112 SHA983112:SHB983112 RXE983112:RXF983112 RNI983112:RNJ983112 RDM983112:RDN983112 QTQ983112:QTR983112 QJU983112:QJV983112 PZY983112:PZZ983112 PQC983112:PQD983112 PGG983112:PGH983112 OWK983112:OWL983112 OMO983112:OMP983112 OCS983112:OCT983112 NSW983112:NSX983112 NJA983112:NJB983112 MZE983112:MZF983112 MPI983112:MPJ983112 MFM983112:MFN983112 LVQ983112:LVR983112 LLU983112:LLV983112 LBY983112:LBZ983112 KSC983112:KSD983112 KIG983112:KIH983112 JYK983112:JYL983112 JOO983112:JOP983112 JES983112:JET983112 IUW983112:IUX983112 ILA983112:ILB983112 IBE983112:IBF983112 HRI983112:HRJ983112 HHM983112:HHN983112 GXQ983112:GXR983112 GNU983112:GNV983112 GDY983112:GDZ983112 FUC983112:FUD983112 FKG983112:FKH983112 FAK983112:FAL983112 EQO983112:EQP983112 EGS983112:EGT983112 DWW983112:DWX983112 DNA983112:DNB983112 DDE983112:DDF983112 CTI983112:CTJ983112 CJM983112:CJN983112 BZQ983112:BZR983112 BPU983112:BPV983112 BFY983112:BFZ983112 AWC983112:AWD983112 AMG983112:AMH983112 ACK983112:ACL983112 SO983112:SP983112 IS983112:IT983112 C983112:D983112 WVE917576:WVF917576 WLI917576:WLJ917576 WBM917576:WBN917576 VRQ917576:VRR917576 VHU917576:VHV917576 UXY917576:UXZ917576 UOC917576:UOD917576 UEG917576:UEH917576 TUK917576:TUL917576 TKO917576:TKP917576 TAS917576:TAT917576 SQW917576:SQX917576 SHA917576:SHB917576 RXE917576:RXF917576 RNI917576:RNJ917576 RDM917576:RDN917576 QTQ917576:QTR917576 QJU917576:QJV917576 PZY917576:PZZ917576 PQC917576:PQD917576 PGG917576:PGH917576 OWK917576:OWL917576 OMO917576:OMP917576 OCS917576:OCT917576 NSW917576:NSX917576 NJA917576:NJB917576 MZE917576:MZF917576 MPI917576:MPJ917576 MFM917576:MFN917576 LVQ917576:LVR917576 LLU917576:LLV917576 LBY917576:LBZ917576 KSC917576:KSD917576 KIG917576:KIH917576 JYK917576:JYL917576 JOO917576:JOP917576 JES917576:JET917576 IUW917576:IUX917576 ILA917576:ILB917576 IBE917576:IBF917576 HRI917576:HRJ917576 HHM917576:HHN917576 GXQ917576:GXR917576 GNU917576:GNV917576 GDY917576:GDZ917576 FUC917576:FUD917576 FKG917576:FKH917576 FAK917576:FAL917576 EQO917576:EQP917576 EGS917576:EGT917576 DWW917576:DWX917576 DNA917576:DNB917576 DDE917576:DDF917576 CTI917576:CTJ917576 CJM917576:CJN917576 BZQ917576:BZR917576 BPU917576:BPV917576 BFY917576:BFZ917576 AWC917576:AWD917576 AMG917576:AMH917576 ACK917576:ACL917576 SO917576:SP917576 IS917576:IT917576 C917576:D917576 WVE852040:WVF852040 WLI852040:WLJ852040 WBM852040:WBN852040 VRQ852040:VRR852040 VHU852040:VHV852040 UXY852040:UXZ852040 UOC852040:UOD852040 UEG852040:UEH852040 TUK852040:TUL852040 TKO852040:TKP852040 TAS852040:TAT852040 SQW852040:SQX852040 SHA852040:SHB852040 RXE852040:RXF852040 RNI852040:RNJ852040 RDM852040:RDN852040 QTQ852040:QTR852040 QJU852040:QJV852040 PZY852040:PZZ852040 PQC852040:PQD852040 PGG852040:PGH852040 OWK852040:OWL852040 OMO852040:OMP852040 OCS852040:OCT852040 NSW852040:NSX852040 NJA852040:NJB852040 MZE852040:MZF852040 MPI852040:MPJ852040 MFM852040:MFN852040 LVQ852040:LVR852040 LLU852040:LLV852040 LBY852040:LBZ852040 KSC852040:KSD852040 KIG852040:KIH852040 JYK852040:JYL852040 JOO852040:JOP852040 JES852040:JET852040 IUW852040:IUX852040 ILA852040:ILB852040 IBE852040:IBF852040 HRI852040:HRJ852040 HHM852040:HHN852040 GXQ852040:GXR852040 GNU852040:GNV852040 GDY852040:GDZ852040 FUC852040:FUD852040 FKG852040:FKH852040 FAK852040:FAL852040 EQO852040:EQP852040 EGS852040:EGT852040 DWW852040:DWX852040 DNA852040:DNB852040 DDE852040:DDF852040 CTI852040:CTJ852040 CJM852040:CJN852040 BZQ852040:BZR852040 BPU852040:BPV852040 BFY852040:BFZ852040 AWC852040:AWD852040 AMG852040:AMH852040 ACK852040:ACL852040 SO852040:SP852040 IS852040:IT852040 C852040:D852040 WVE786504:WVF786504 WLI786504:WLJ786504 WBM786504:WBN786504 VRQ786504:VRR786504 VHU786504:VHV786504 UXY786504:UXZ786504 UOC786504:UOD786504 UEG786504:UEH786504 TUK786504:TUL786504 TKO786504:TKP786504 TAS786504:TAT786504 SQW786504:SQX786504 SHA786504:SHB786504 RXE786504:RXF786504 RNI786504:RNJ786504 RDM786504:RDN786504 QTQ786504:QTR786504 QJU786504:QJV786504 PZY786504:PZZ786504 PQC786504:PQD786504 PGG786504:PGH786504 OWK786504:OWL786504 OMO786504:OMP786504 OCS786504:OCT786504 NSW786504:NSX786504 NJA786504:NJB786504 MZE786504:MZF786504 MPI786504:MPJ786504 MFM786504:MFN786504 LVQ786504:LVR786504 LLU786504:LLV786504 LBY786504:LBZ786504 KSC786504:KSD786504 KIG786504:KIH786504 JYK786504:JYL786504 JOO786504:JOP786504 JES786504:JET786504 IUW786504:IUX786504 ILA786504:ILB786504 IBE786504:IBF786504 HRI786504:HRJ786504 HHM786504:HHN786504 GXQ786504:GXR786504 GNU786504:GNV786504 GDY786504:GDZ786504 FUC786504:FUD786504 FKG786504:FKH786504 FAK786504:FAL786504 EQO786504:EQP786504 EGS786504:EGT786504 DWW786504:DWX786504 DNA786504:DNB786504 DDE786504:DDF786504 CTI786504:CTJ786504 CJM786504:CJN786504 BZQ786504:BZR786504 BPU786504:BPV786504 BFY786504:BFZ786504 AWC786504:AWD786504 AMG786504:AMH786504 ACK786504:ACL786504 SO786504:SP786504 IS786504:IT786504 C786504:D786504 WVE720968:WVF720968 WLI720968:WLJ720968 WBM720968:WBN720968 VRQ720968:VRR720968 VHU720968:VHV720968 UXY720968:UXZ720968 UOC720968:UOD720968 UEG720968:UEH720968 TUK720968:TUL720968 TKO720968:TKP720968 TAS720968:TAT720968 SQW720968:SQX720968 SHA720968:SHB720968 RXE720968:RXF720968 RNI720968:RNJ720968 RDM720968:RDN720968 QTQ720968:QTR720968 QJU720968:QJV720968 PZY720968:PZZ720968 PQC720968:PQD720968 PGG720968:PGH720968 OWK720968:OWL720968 OMO720968:OMP720968 OCS720968:OCT720968 NSW720968:NSX720968 NJA720968:NJB720968 MZE720968:MZF720968 MPI720968:MPJ720968 MFM720968:MFN720968 LVQ720968:LVR720968 LLU720968:LLV720968 LBY720968:LBZ720968 KSC720968:KSD720968 KIG720968:KIH720968 JYK720968:JYL720968 JOO720968:JOP720968 JES720968:JET720968 IUW720968:IUX720968 ILA720968:ILB720968 IBE720968:IBF720968 HRI720968:HRJ720968 HHM720968:HHN720968 GXQ720968:GXR720968 GNU720968:GNV720968 GDY720968:GDZ720968 FUC720968:FUD720968 FKG720968:FKH720968 FAK720968:FAL720968 EQO720968:EQP720968 EGS720968:EGT720968 DWW720968:DWX720968 DNA720968:DNB720968 DDE720968:DDF720968 CTI720968:CTJ720968 CJM720968:CJN720968 BZQ720968:BZR720968 BPU720968:BPV720968 BFY720968:BFZ720968 AWC720968:AWD720968 AMG720968:AMH720968 ACK720968:ACL720968 SO720968:SP720968 IS720968:IT720968 C720968:D720968 WVE655432:WVF655432 WLI655432:WLJ655432 WBM655432:WBN655432 VRQ655432:VRR655432 VHU655432:VHV655432 UXY655432:UXZ655432 UOC655432:UOD655432 UEG655432:UEH655432 TUK655432:TUL655432 TKO655432:TKP655432 TAS655432:TAT655432 SQW655432:SQX655432 SHA655432:SHB655432 RXE655432:RXF655432 RNI655432:RNJ655432 RDM655432:RDN655432 QTQ655432:QTR655432 QJU655432:QJV655432 PZY655432:PZZ655432 PQC655432:PQD655432 PGG655432:PGH655432 OWK655432:OWL655432 OMO655432:OMP655432 OCS655432:OCT655432 NSW655432:NSX655432 NJA655432:NJB655432 MZE655432:MZF655432 MPI655432:MPJ655432 MFM655432:MFN655432 LVQ655432:LVR655432 LLU655432:LLV655432 LBY655432:LBZ655432 KSC655432:KSD655432 KIG655432:KIH655432 JYK655432:JYL655432 JOO655432:JOP655432 JES655432:JET655432 IUW655432:IUX655432 ILA655432:ILB655432 IBE655432:IBF655432 HRI655432:HRJ655432 HHM655432:HHN655432 GXQ655432:GXR655432 GNU655432:GNV655432 GDY655432:GDZ655432 FUC655432:FUD655432 FKG655432:FKH655432 FAK655432:FAL655432 EQO655432:EQP655432 EGS655432:EGT655432 DWW655432:DWX655432 DNA655432:DNB655432 DDE655432:DDF655432 CTI655432:CTJ655432 CJM655432:CJN655432 BZQ655432:BZR655432 BPU655432:BPV655432 BFY655432:BFZ655432 AWC655432:AWD655432 AMG655432:AMH655432 ACK655432:ACL655432 SO655432:SP655432 IS655432:IT655432 C655432:D655432 WVE589896:WVF589896 WLI589896:WLJ589896 WBM589896:WBN589896 VRQ589896:VRR589896 VHU589896:VHV589896 UXY589896:UXZ589896 UOC589896:UOD589896 UEG589896:UEH589896 TUK589896:TUL589896 TKO589896:TKP589896 TAS589896:TAT589896 SQW589896:SQX589896 SHA589896:SHB589896 RXE589896:RXF589896 RNI589896:RNJ589896 RDM589896:RDN589896 QTQ589896:QTR589896 QJU589896:QJV589896 PZY589896:PZZ589896 PQC589896:PQD589896 PGG589896:PGH589896 OWK589896:OWL589896 OMO589896:OMP589896 OCS589896:OCT589896 NSW589896:NSX589896 NJA589896:NJB589896 MZE589896:MZF589896 MPI589896:MPJ589896 MFM589896:MFN589896 LVQ589896:LVR589896 LLU589896:LLV589896 LBY589896:LBZ589896 KSC589896:KSD589896 KIG589896:KIH589896 JYK589896:JYL589896 JOO589896:JOP589896 JES589896:JET589896 IUW589896:IUX589896 ILA589896:ILB589896 IBE589896:IBF589896 HRI589896:HRJ589896 HHM589896:HHN589896 GXQ589896:GXR589896 GNU589896:GNV589896 GDY589896:GDZ589896 FUC589896:FUD589896 FKG589896:FKH589896 FAK589896:FAL589896 EQO589896:EQP589896 EGS589896:EGT589896 DWW589896:DWX589896 DNA589896:DNB589896 DDE589896:DDF589896 CTI589896:CTJ589896 CJM589896:CJN589896 BZQ589896:BZR589896 BPU589896:BPV589896 BFY589896:BFZ589896 AWC589896:AWD589896 AMG589896:AMH589896 ACK589896:ACL589896 SO589896:SP589896 IS589896:IT589896 C589896:D589896 WVE524360:WVF524360 WLI524360:WLJ524360 WBM524360:WBN524360 VRQ524360:VRR524360 VHU524360:VHV524360 UXY524360:UXZ524360 UOC524360:UOD524360 UEG524360:UEH524360 TUK524360:TUL524360 TKO524360:TKP524360 TAS524360:TAT524360 SQW524360:SQX524360 SHA524360:SHB524360 RXE524360:RXF524360 RNI524360:RNJ524360 RDM524360:RDN524360 QTQ524360:QTR524360 QJU524360:QJV524360 PZY524360:PZZ524360 PQC524360:PQD524360 PGG524360:PGH524360 OWK524360:OWL524360 OMO524360:OMP524360 OCS524360:OCT524360 NSW524360:NSX524360 NJA524360:NJB524360 MZE524360:MZF524360 MPI524360:MPJ524360 MFM524360:MFN524360 LVQ524360:LVR524360 LLU524360:LLV524360 LBY524360:LBZ524360 KSC524360:KSD524360 KIG524360:KIH524360 JYK524360:JYL524360 JOO524360:JOP524360 JES524360:JET524360 IUW524360:IUX524360 ILA524360:ILB524360 IBE524360:IBF524360 HRI524360:HRJ524360 HHM524360:HHN524360 GXQ524360:GXR524360 GNU524360:GNV524360 GDY524360:GDZ524360 FUC524360:FUD524360 FKG524360:FKH524360 FAK524360:FAL524360 EQO524360:EQP524360 EGS524360:EGT524360 DWW524360:DWX524360 DNA524360:DNB524360 DDE524360:DDF524360 CTI524360:CTJ524360 CJM524360:CJN524360 BZQ524360:BZR524360 BPU524360:BPV524360 BFY524360:BFZ524360 AWC524360:AWD524360 AMG524360:AMH524360 ACK524360:ACL524360 SO524360:SP524360 IS524360:IT524360 C524360:D524360 WVE458824:WVF458824 WLI458824:WLJ458824 WBM458824:WBN458824 VRQ458824:VRR458824 VHU458824:VHV458824 UXY458824:UXZ458824 UOC458824:UOD458824 UEG458824:UEH458824 TUK458824:TUL458824 TKO458824:TKP458824 TAS458824:TAT458824 SQW458824:SQX458824 SHA458824:SHB458824 RXE458824:RXF458824 RNI458824:RNJ458824 RDM458824:RDN458824 QTQ458824:QTR458824 QJU458824:QJV458824 PZY458824:PZZ458824 PQC458824:PQD458824 PGG458824:PGH458824 OWK458824:OWL458824 OMO458824:OMP458824 OCS458824:OCT458824 NSW458824:NSX458824 NJA458824:NJB458824 MZE458824:MZF458824 MPI458824:MPJ458824 MFM458824:MFN458824 LVQ458824:LVR458824 LLU458824:LLV458824 LBY458824:LBZ458824 KSC458824:KSD458824 KIG458824:KIH458824 JYK458824:JYL458824 JOO458824:JOP458824 JES458824:JET458824 IUW458824:IUX458824 ILA458824:ILB458824 IBE458824:IBF458824 HRI458824:HRJ458824 HHM458824:HHN458824 GXQ458824:GXR458824 GNU458824:GNV458824 GDY458824:GDZ458824 FUC458824:FUD458824 FKG458824:FKH458824 FAK458824:FAL458824 EQO458824:EQP458824 EGS458824:EGT458824 DWW458824:DWX458824 DNA458824:DNB458824 DDE458824:DDF458824 CTI458824:CTJ458824 CJM458824:CJN458824 BZQ458824:BZR458824 BPU458824:BPV458824 BFY458824:BFZ458824 AWC458824:AWD458824 AMG458824:AMH458824 ACK458824:ACL458824 SO458824:SP458824 IS458824:IT458824 C458824:D458824 WVE393288:WVF393288 WLI393288:WLJ393288 WBM393288:WBN393288 VRQ393288:VRR393288 VHU393288:VHV393288 UXY393288:UXZ393288 UOC393288:UOD393288 UEG393288:UEH393288 TUK393288:TUL393288 TKO393288:TKP393288 TAS393288:TAT393288 SQW393288:SQX393288 SHA393288:SHB393288 RXE393288:RXF393288 RNI393288:RNJ393288 RDM393288:RDN393288 QTQ393288:QTR393288 QJU393288:QJV393288 PZY393288:PZZ393288 PQC393288:PQD393288 PGG393288:PGH393288 OWK393288:OWL393288 OMO393288:OMP393288 OCS393288:OCT393288 NSW393288:NSX393288 NJA393288:NJB393288 MZE393288:MZF393288 MPI393288:MPJ393288 MFM393288:MFN393288 LVQ393288:LVR393288 LLU393288:LLV393288 LBY393288:LBZ393288 KSC393288:KSD393288 KIG393288:KIH393288 JYK393288:JYL393288 JOO393288:JOP393288 JES393288:JET393288 IUW393288:IUX393288 ILA393288:ILB393288 IBE393288:IBF393288 HRI393288:HRJ393288 HHM393288:HHN393288 GXQ393288:GXR393288 GNU393288:GNV393288 GDY393288:GDZ393288 FUC393288:FUD393288 FKG393288:FKH393288 FAK393288:FAL393288 EQO393288:EQP393288 EGS393288:EGT393288 DWW393288:DWX393288 DNA393288:DNB393288 DDE393288:DDF393288 CTI393288:CTJ393288 CJM393288:CJN393288 BZQ393288:BZR393288 BPU393288:BPV393288 BFY393288:BFZ393288 AWC393288:AWD393288 AMG393288:AMH393288 ACK393288:ACL393288 SO393288:SP393288 IS393288:IT393288 C393288:D393288 WVE327752:WVF327752 WLI327752:WLJ327752 WBM327752:WBN327752 VRQ327752:VRR327752 VHU327752:VHV327752 UXY327752:UXZ327752 UOC327752:UOD327752 UEG327752:UEH327752 TUK327752:TUL327752 TKO327752:TKP327752 TAS327752:TAT327752 SQW327752:SQX327752 SHA327752:SHB327752 RXE327752:RXF327752 RNI327752:RNJ327752 RDM327752:RDN327752 QTQ327752:QTR327752 QJU327752:QJV327752 PZY327752:PZZ327752 PQC327752:PQD327752 PGG327752:PGH327752 OWK327752:OWL327752 OMO327752:OMP327752 OCS327752:OCT327752 NSW327752:NSX327752 NJA327752:NJB327752 MZE327752:MZF327752 MPI327752:MPJ327752 MFM327752:MFN327752 LVQ327752:LVR327752 LLU327752:LLV327752 LBY327752:LBZ327752 KSC327752:KSD327752 KIG327752:KIH327752 JYK327752:JYL327752 JOO327752:JOP327752 JES327752:JET327752 IUW327752:IUX327752 ILA327752:ILB327752 IBE327752:IBF327752 HRI327752:HRJ327752 HHM327752:HHN327752 GXQ327752:GXR327752 GNU327752:GNV327752 GDY327752:GDZ327752 FUC327752:FUD327752 FKG327752:FKH327752 FAK327752:FAL327752 EQO327752:EQP327752 EGS327752:EGT327752 DWW327752:DWX327752 DNA327752:DNB327752 DDE327752:DDF327752 CTI327752:CTJ327752 CJM327752:CJN327752 BZQ327752:BZR327752 BPU327752:BPV327752 BFY327752:BFZ327752 AWC327752:AWD327752 AMG327752:AMH327752 ACK327752:ACL327752 SO327752:SP327752 IS327752:IT327752 C327752:D327752 WVE262216:WVF262216 WLI262216:WLJ262216 WBM262216:WBN262216 VRQ262216:VRR262216 VHU262216:VHV262216 UXY262216:UXZ262216 UOC262216:UOD262216 UEG262216:UEH262216 TUK262216:TUL262216 TKO262216:TKP262216 TAS262216:TAT262216 SQW262216:SQX262216 SHA262216:SHB262216 RXE262216:RXF262216 RNI262216:RNJ262216 RDM262216:RDN262216 QTQ262216:QTR262216 QJU262216:QJV262216 PZY262216:PZZ262216 PQC262216:PQD262216 PGG262216:PGH262216 OWK262216:OWL262216 OMO262216:OMP262216 OCS262216:OCT262216 NSW262216:NSX262216 NJA262216:NJB262216 MZE262216:MZF262216 MPI262216:MPJ262216 MFM262216:MFN262216 LVQ262216:LVR262216 LLU262216:LLV262216 LBY262216:LBZ262216 KSC262216:KSD262216 KIG262216:KIH262216 JYK262216:JYL262216 JOO262216:JOP262216 JES262216:JET262216 IUW262216:IUX262216 ILA262216:ILB262216 IBE262216:IBF262216 HRI262216:HRJ262216 HHM262216:HHN262216 GXQ262216:GXR262216 GNU262216:GNV262216 GDY262216:GDZ262216 FUC262216:FUD262216 FKG262216:FKH262216 FAK262216:FAL262216 EQO262216:EQP262216 EGS262216:EGT262216 DWW262216:DWX262216 DNA262216:DNB262216 DDE262216:DDF262216 CTI262216:CTJ262216 CJM262216:CJN262216 BZQ262216:BZR262216 BPU262216:BPV262216 BFY262216:BFZ262216 AWC262216:AWD262216 AMG262216:AMH262216 ACK262216:ACL262216 SO262216:SP262216 IS262216:IT262216 C262216:D262216 WVE196680:WVF196680 WLI196680:WLJ196680 WBM196680:WBN196680 VRQ196680:VRR196680 VHU196680:VHV196680 UXY196680:UXZ196680 UOC196680:UOD196680 UEG196680:UEH196680 TUK196680:TUL196680 TKO196680:TKP196680 TAS196680:TAT196680 SQW196680:SQX196680 SHA196680:SHB196680 RXE196680:RXF196680 RNI196680:RNJ196680 RDM196680:RDN196680 QTQ196680:QTR196680 QJU196680:QJV196680 PZY196680:PZZ196680 PQC196680:PQD196680 PGG196680:PGH196680 OWK196680:OWL196680 OMO196680:OMP196680 OCS196680:OCT196680 NSW196680:NSX196680 NJA196680:NJB196680 MZE196680:MZF196680 MPI196680:MPJ196680 MFM196680:MFN196680 LVQ196680:LVR196680 LLU196680:LLV196680 LBY196680:LBZ196680 KSC196680:KSD196680 KIG196680:KIH196680 JYK196680:JYL196680 JOO196680:JOP196680 JES196680:JET196680 IUW196680:IUX196680 ILA196680:ILB196680 IBE196680:IBF196680 HRI196680:HRJ196680 HHM196680:HHN196680 GXQ196680:GXR196680 GNU196680:GNV196680 GDY196680:GDZ196680 FUC196680:FUD196680 FKG196680:FKH196680 FAK196680:FAL196680 EQO196680:EQP196680 EGS196680:EGT196680 DWW196680:DWX196680 DNA196680:DNB196680 DDE196680:DDF196680 CTI196680:CTJ196680 CJM196680:CJN196680 BZQ196680:BZR196680 BPU196680:BPV196680 BFY196680:BFZ196680 AWC196680:AWD196680 AMG196680:AMH196680 ACK196680:ACL196680 SO196680:SP196680 IS196680:IT196680 C196680:D196680 WVE131144:WVF131144 WLI131144:WLJ131144 WBM131144:WBN131144 VRQ131144:VRR131144 VHU131144:VHV131144 UXY131144:UXZ131144 UOC131144:UOD131144 UEG131144:UEH131144 TUK131144:TUL131144 TKO131144:TKP131144 TAS131144:TAT131144 SQW131144:SQX131144 SHA131144:SHB131144 RXE131144:RXF131144 RNI131144:RNJ131144 RDM131144:RDN131144 QTQ131144:QTR131144 QJU131144:QJV131144 PZY131144:PZZ131144 PQC131144:PQD131144 PGG131144:PGH131144 OWK131144:OWL131144 OMO131144:OMP131144 OCS131144:OCT131144 NSW131144:NSX131144 NJA131144:NJB131144 MZE131144:MZF131144 MPI131144:MPJ131144 MFM131144:MFN131144 LVQ131144:LVR131144 LLU131144:LLV131144 LBY131144:LBZ131144 KSC131144:KSD131144 KIG131144:KIH131144 JYK131144:JYL131144 JOO131144:JOP131144 JES131144:JET131144 IUW131144:IUX131144 ILA131144:ILB131144 IBE131144:IBF131144 HRI131144:HRJ131144 HHM131144:HHN131144 GXQ131144:GXR131144 GNU131144:GNV131144 GDY131144:GDZ131144 FUC131144:FUD131144 FKG131144:FKH131144 FAK131144:FAL131144 EQO131144:EQP131144 EGS131144:EGT131144 DWW131144:DWX131144 DNA131144:DNB131144 DDE131144:DDF131144 CTI131144:CTJ131144 CJM131144:CJN131144 BZQ131144:BZR131144 BPU131144:BPV131144 BFY131144:BFZ131144 AWC131144:AWD131144 AMG131144:AMH131144 ACK131144:ACL131144 SO131144:SP131144 IS131144:IT131144 C131144:D131144 WVE65608:WVF65608 WLI65608:WLJ65608 WBM65608:WBN65608 VRQ65608:VRR65608 VHU65608:VHV65608 UXY65608:UXZ65608 UOC65608:UOD65608 UEG65608:UEH65608 TUK65608:TUL65608 TKO65608:TKP65608 TAS65608:TAT65608 SQW65608:SQX65608 SHA65608:SHB65608 RXE65608:RXF65608 RNI65608:RNJ65608 RDM65608:RDN65608 QTQ65608:QTR65608 QJU65608:QJV65608 PZY65608:PZZ65608 PQC65608:PQD65608 PGG65608:PGH65608 OWK65608:OWL65608 OMO65608:OMP65608 OCS65608:OCT65608 NSW65608:NSX65608 NJA65608:NJB65608 MZE65608:MZF65608 MPI65608:MPJ65608 MFM65608:MFN65608 LVQ65608:LVR65608 LLU65608:LLV65608 LBY65608:LBZ65608 KSC65608:KSD65608 KIG65608:KIH65608 JYK65608:JYL65608 JOO65608:JOP65608 JES65608:JET65608 IUW65608:IUX65608 ILA65608:ILB65608 IBE65608:IBF65608 HRI65608:HRJ65608 HHM65608:HHN65608 GXQ65608:GXR65608 GNU65608:GNV65608 GDY65608:GDZ65608 FUC65608:FUD65608 FKG65608:FKH65608 FAK65608:FAL65608 EQO65608:EQP65608 EGS65608:EGT65608 DWW65608:DWX65608 DNA65608:DNB65608 DDE65608:DDF65608 CTI65608:CTJ65608 CJM65608:CJN65608 BZQ65608:BZR65608 BPU65608:BPV65608 BFY65608:BFZ65608 AWC65608:AWD65608 AMG65608:AMH65608 ACK65608:ACL65608 SO65608:SP65608 IS65608:IT65608 C65608:D65608 WVE67:WVF67 WLI67:WLJ67 WBM67:WBN67 VRQ67:VRR67 VHU67:VHV67 UXY67:UXZ67 UOC67:UOD67 UEG67:UEH67 TUK67:TUL67 TKO67:TKP67 TAS67:TAT67 SQW67:SQX67 SHA67:SHB67 RXE67:RXF67 RNI67:RNJ67 RDM67:RDN67 QTQ67:QTR67 QJU67:QJV67 PZY67:PZZ67 PQC67:PQD67 PGG67:PGH67 OWK67:OWL67 OMO67:OMP67 OCS67:OCT67 NSW67:NSX67 NJA67:NJB67 MZE67:MZF67 MPI67:MPJ67 MFM67:MFN67 LVQ67:LVR67 LLU67:LLV67 LBY67:LBZ67 KSC67:KSD67 KIG67:KIH67 JYK67:JYL67 JOO67:JOP67 JES67:JET67 IUW67:IUX67 ILA67:ILB67 IBE67:IBF67 HRI67:HRJ67 HHM67:HHN67 GXQ67:GXR67 GNU67:GNV67 GDY67:GDZ67 FUC67:FUD67 FKG67:FKH67 FAK67:FAL67 EQO67:EQP67 EGS67:EGT67 DWW67:DWX67 DNA67:DNB67 DDE67:DDF67 CTI67:CTJ67 CJM67:CJN67 BZQ67:BZR67 BPU67:BPV67 BFY67:BFZ67 AWC67:AWD67 AMG67:AMH67 ACK67:ACL67 SO67:SP67 IS67:IT67 WVF983108 WLJ983108 WBN983108 VRR983108 VHV983108 UXZ983108 UOD983108 UEH983108 TUL983108 TKP983108 TAT983108 SQX983108 SHB983108 RXF983108 RNJ983108 RDN983108 QTR983108 QJV983108 PZZ983108 PQD983108 PGH983108 OWL983108 OMP983108 OCT983108 NSX983108 NJB983108 MZF983108 MPJ983108 MFN983108 LVR983108 LLV983108 LBZ983108 KSD983108 KIH983108 JYL983108 JOP983108 JET983108 IUX983108 ILB983108 IBF983108 HRJ983108 HHN983108 GXR983108 GNV983108 GDZ983108 FUD983108 FKH983108 FAL983108 EQP983108 EGT983108 DWX983108 DNB983108 DDF983108 CTJ983108 CJN983108 BZR983108 BPV983108 BFZ983108 AWD983108 AMH983108 ACL983108 SP983108 IT983108 D983108 WVF917572 WLJ917572 WBN917572 VRR917572 VHV917572 UXZ917572 UOD917572 UEH917572 TUL917572 TKP917572 TAT917572 SQX917572 SHB917572 RXF917572 RNJ917572 RDN917572 QTR917572 QJV917572 PZZ917572 PQD917572 PGH917572 OWL917572 OMP917572 OCT917572 NSX917572 NJB917572 MZF917572 MPJ917572 MFN917572 LVR917572 LLV917572 LBZ917572 KSD917572 KIH917572 JYL917572 JOP917572 JET917572 IUX917572 ILB917572 IBF917572 HRJ917572 HHN917572 GXR917572 GNV917572 GDZ917572 FUD917572 FKH917572 FAL917572 EQP917572 EGT917572 DWX917572 DNB917572 DDF917572 CTJ917572 CJN917572 BZR917572 BPV917572 BFZ917572 AWD917572 AMH917572 ACL917572 SP917572 IT917572 D917572 WVF852036 WLJ852036 WBN852036 VRR852036 VHV852036 UXZ852036 UOD852036 UEH852036 TUL852036 TKP852036 TAT852036 SQX852036 SHB852036 RXF852036 RNJ852036 RDN852036 QTR852036 QJV852036 PZZ852036 PQD852036 PGH852036 OWL852036 OMP852036 OCT852036 NSX852036 NJB852036 MZF852036 MPJ852036 MFN852036 LVR852036 LLV852036 LBZ852036 KSD852036 KIH852036 JYL852036 JOP852036 JET852036 IUX852036 ILB852036 IBF852036 HRJ852036 HHN852036 GXR852036 GNV852036 GDZ852036 FUD852036 FKH852036 FAL852036 EQP852036 EGT852036 DWX852036 DNB852036 DDF852036 CTJ852036 CJN852036 BZR852036 BPV852036 BFZ852036 AWD852036 AMH852036 ACL852036 SP852036 IT852036 D852036 WVF786500 WLJ786500 WBN786500 VRR786500 VHV786500 UXZ786500 UOD786500 UEH786500 TUL786500 TKP786500 TAT786500 SQX786500 SHB786500 RXF786500 RNJ786500 RDN786500 QTR786500 QJV786500 PZZ786500 PQD786500 PGH786500 OWL786500 OMP786500 OCT786500 NSX786500 NJB786500 MZF786500 MPJ786500 MFN786500 LVR786500 LLV786500 LBZ786500 KSD786500 KIH786500 JYL786500 JOP786500 JET786500 IUX786500 ILB786500 IBF786500 HRJ786500 HHN786500 GXR786500 GNV786500 GDZ786500 FUD786500 FKH786500 FAL786500 EQP786500 EGT786500 DWX786500 DNB786500 DDF786500 CTJ786500 CJN786500 BZR786500 BPV786500 BFZ786500 AWD786500 AMH786500 ACL786500 SP786500 IT786500 D786500 WVF720964 WLJ720964 WBN720964 VRR720964 VHV720964 UXZ720964 UOD720964 UEH720964 TUL720964 TKP720964 TAT720964 SQX720964 SHB720964 RXF720964 RNJ720964 RDN720964 QTR720964 QJV720964 PZZ720964 PQD720964 PGH720964 OWL720964 OMP720964 OCT720964 NSX720964 NJB720964 MZF720964 MPJ720964 MFN720964 LVR720964 LLV720964 LBZ720964 KSD720964 KIH720964 JYL720964 JOP720964 JET720964 IUX720964 ILB720964 IBF720964 HRJ720964 HHN720964 GXR720964 GNV720964 GDZ720964 FUD720964 FKH720964 FAL720964 EQP720964 EGT720964 DWX720964 DNB720964 DDF720964 CTJ720964 CJN720964 BZR720964 BPV720964 BFZ720964 AWD720964 AMH720964 ACL720964 SP720964 IT720964 D720964 WVF655428 WLJ655428 WBN655428 VRR655428 VHV655428 UXZ655428 UOD655428 UEH655428 TUL655428 TKP655428 TAT655428 SQX655428 SHB655428 RXF655428 RNJ655428 RDN655428 QTR655428 QJV655428 PZZ655428 PQD655428 PGH655428 OWL655428 OMP655428 OCT655428 NSX655428 NJB655428 MZF655428 MPJ655428 MFN655428 LVR655428 LLV655428 LBZ655428 KSD655428 KIH655428 JYL655428 JOP655428 JET655428 IUX655428 ILB655428 IBF655428 HRJ655428 HHN655428 GXR655428 GNV655428 GDZ655428 FUD655428 FKH655428 FAL655428 EQP655428 EGT655428 DWX655428 DNB655428 DDF655428 CTJ655428 CJN655428 BZR655428 BPV655428 BFZ655428 AWD655428 AMH655428 ACL655428 SP655428 IT655428 D655428 WVF589892 WLJ589892 WBN589892 VRR589892 VHV589892 UXZ589892 UOD589892 UEH589892 TUL589892 TKP589892 TAT589892 SQX589892 SHB589892 RXF589892 RNJ589892 RDN589892 QTR589892 QJV589892 PZZ589892 PQD589892 PGH589892 OWL589892 OMP589892 OCT589892 NSX589892 NJB589892 MZF589892 MPJ589892 MFN589892 LVR589892 LLV589892 LBZ589892 KSD589892 KIH589892 JYL589892 JOP589892 JET589892 IUX589892 ILB589892 IBF589892 HRJ589892 HHN589892 GXR589892 GNV589892 GDZ589892 FUD589892 FKH589892 FAL589892 EQP589892 EGT589892 DWX589892 DNB589892 DDF589892 CTJ589892 CJN589892 BZR589892 BPV589892 BFZ589892 AWD589892 AMH589892 ACL589892 SP589892 IT589892 D589892 WVF524356 WLJ524356 WBN524356 VRR524356 VHV524356 UXZ524356 UOD524356 UEH524356 TUL524356 TKP524356 TAT524356 SQX524356 SHB524356 RXF524356 RNJ524356 RDN524356 QTR524356 QJV524356 PZZ524356 PQD524356 PGH524356 OWL524356 OMP524356 OCT524356 NSX524356 NJB524356 MZF524356 MPJ524356 MFN524356 LVR524356 LLV524356 LBZ524356 KSD524356 KIH524356 JYL524356 JOP524356 JET524356 IUX524356 ILB524356 IBF524356 HRJ524356 HHN524356 GXR524356 GNV524356 GDZ524356 FUD524356 FKH524356 FAL524356 EQP524356 EGT524356 DWX524356 DNB524356 DDF524356 CTJ524356 CJN524356 BZR524356 BPV524356 BFZ524356 AWD524356 AMH524356 ACL524356 SP524356 IT524356 D524356 WVF458820 WLJ458820 WBN458820 VRR458820 VHV458820 UXZ458820 UOD458820 UEH458820 TUL458820 TKP458820 TAT458820 SQX458820 SHB458820 RXF458820 RNJ458820 RDN458820 QTR458820 QJV458820 PZZ458820 PQD458820 PGH458820 OWL458820 OMP458820 OCT458820 NSX458820 NJB458820 MZF458820 MPJ458820 MFN458820 LVR458820 LLV458820 LBZ458820 KSD458820 KIH458820 JYL458820 JOP458820 JET458820 IUX458820 ILB458820 IBF458820 HRJ458820 HHN458820 GXR458820 GNV458820 GDZ458820 FUD458820 FKH458820 FAL458820 EQP458820 EGT458820 DWX458820 DNB458820 DDF458820 CTJ458820 CJN458820 BZR458820 BPV458820 BFZ458820 AWD458820 AMH458820 ACL458820 SP458820 IT458820 D458820 WVF393284 WLJ393284 WBN393284 VRR393284 VHV393284 UXZ393284 UOD393284 UEH393284 TUL393284 TKP393284 TAT393284 SQX393284 SHB393284 RXF393284 RNJ393284 RDN393284 QTR393284 QJV393284 PZZ393284 PQD393284 PGH393284 OWL393284 OMP393284 OCT393284 NSX393284 NJB393284 MZF393284 MPJ393284 MFN393284 LVR393284 LLV393284 LBZ393284 KSD393284 KIH393284 JYL393284 JOP393284 JET393284 IUX393284 ILB393284 IBF393284 HRJ393284 HHN393284 GXR393284 GNV393284 GDZ393284 FUD393284 FKH393284 FAL393284 EQP393284 EGT393284 DWX393284 DNB393284 DDF393284 CTJ393284 CJN393284 BZR393284 BPV393284 BFZ393284 AWD393284 AMH393284 ACL393284 SP393284 IT393284 D393284 WVF327748 WLJ327748 WBN327748 VRR327748 VHV327748 UXZ327748 UOD327748 UEH327748 TUL327748 TKP327748 TAT327748 SQX327748 SHB327748 RXF327748 RNJ327748 RDN327748 QTR327748 QJV327748 PZZ327748 PQD327748 PGH327748 OWL327748 OMP327748 OCT327748 NSX327748 NJB327748 MZF327748 MPJ327748 MFN327748 LVR327748 LLV327748 LBZ327748 KSD327748 KIH327748 JYL327748 JOP327748 JET327748 IUX327748 ILB327748 IBF327748 HRJ327748 HHN327748 GXR327748 GNV327748 GDZ327748 FUD327748 FKH327748 FAL327748 EQP327748 EGT327748 DWX327748 DNB327748 DDF327748 CTJ327748 CJN327748 BZR327748 BPV327748 BFZ327748 AWD327748 AMH327748 ACL327748 SP327748 IT327748 D327748 WVF262212 WLJ262212 WBN262212 VRR262212 VHV262212 UXZ262212 UOD262212 UEH262212 TUL262212 TKP262212 TAT262212 SQX262212 SHB262212 RXF262212 RNJ262212 RDN262212 QTR262212 QJV262212 PZZ262212 PQD262212 PGH262212 OWL262212 OMP262212 OCT262212 NSX262212 NJB262212 MZF262212 MPJ262212 MFN262212 LVR262212 LLV262212 LBZ262212 KSD262212 KIH262212 JYL262212 JOP262212 JET262212 IUX262212 ILB262212 IBF262212 HRJ262212 HHN262212 GXR262212 GNV262212 GDZ262212 FUD262212 FKH262212 FAL262212 EQP262212 EGT262212 DWX262212 DNB262212 DDF262212 CTJ262212 CJN262212 BZR262212 BPV262212 BFZ262212 AWD262212 AMH262212 ACL262212 SP262212 IT262212 D262212 WVF196676 WLJ196676 WBN196676 VRR196676 VHV196676 UXZ196676 UOD196676 UEH196676 TUL196676 TKP196676 TAT196676 SQX196676 SHB196676 RXF196676 RNJ196676 RDN196676 QTR196676 QJV196676 PZZ196676 PQD196676 PGH196676 OWL196676 OMP196676 OCT196676 NSX196676 NJB196676 MZF196676 MPJ196676 MFN196676 LVR196676 LLV196676 LBZ196676 KSD196676 KIH196676 JYL196676 JOP196676 JET196676 IUX196676 ILB196676 IBF196676 HRJ196676 HHN196676 GXR196676 GNV196676 GDZ196676 FUD196676 FKH196676 FAL196676 EQP196676 EGT196676 DWX196676 DNB196676 DDF196676 CTJ196676 CJN196676 BZR196676 BPV196676 BFZ196676 AWD196676 AMH196676 ACL196676 SP196676 IT196676 D196676 WVF131140 WLJ131140 WBN131140 VRR131140 VHV131140 UXZ131140 UOD131140 UEH131140 TUL131140 TKP131140 TAT131140 SQX131140 SHB131140 RXF131140 RNJ131140 RDN131140 QTR131140 QJV131140 PZZ131140 PQD131140 PGH131140 OWL131140 OMP131140 OCT131140 NSX131140 NJB131140 MZF131140 MPJ131140 MFN131140 LVR131140 LLV131140 LBZ131140 KSD131140 KIH131140 JYL131140 JOP131140 JET131140 IUX131140 ILB131140 IBF131140 HRJ131140 HHN131140 GXR131140 GNV131140 GDZ131140 FUD131140 FKH131140 FAL131140 EQP131140 EGT131140 DWX131140 DNB131140 DDF131140 CTJ131140 CJN131140 BZR131140 BPV131140 BFZ131140 AWD131140 AMH131140 ACL131140 SP131140 IT131140 D131140 WVF65604 WLJ65604 WBN65604 VRR65604 VHV65604 UXZ65604 UOD65604 UEH65604 TUL65604 TKP65604 TAT65604 SQX65604 SHB65604 RXF65604 RNJ65604 RDN65604 QTR65604 QJV65604 PZZ65604 PQD65604 PGH65604 OWL65604 OMP65604 OCT65604 NSX65604 NJB65604 MZF65604 MPJ65604 MFN65604 LVR65604 LLV65604 LBZ65604 KSD65604 KIH65604 JYL65604 JOP65604 JET65604 IUX65604 ILB65604 IBF65604 HRJ65604 HHN65604 GXR65604 GNV65604 GDZ65604 FUD65604 FKH65604 FAL65604 EQP65604 EGT65604 DWX65604 DNB65604 DDF65604 CTJ65604 CJN65604 BZR65604 BPV65604 BFZ65604 AWD65604 AMH65604 ACL65604 SP65604 IT65604 D65604 WVF63 WLJ63 WBN63 VRR63 VHV63 UXZ63 UOD63 UEH63 TUL63 TKP63 TAT63 SQX63 SHB63 RXF63 RNJ63 RDN63 QTR63 QJV63 PZZ63 PQD63 PGH63 OWL63 OMP63 OCT63 NSX63 NJB63 MZF63 MPJ63 MFN63 LVR63 LLV63 LBZ63 KSD63 KIH63 JYL63 JOP63 JET63 IUX63 ILB63 IBF63 HRJ63 HHN63 GXR63 GNV63 GDZ63 FUD63 FKH63 FAL63 EQP63 EGT63 DWX63 DNB63 DDF63 CTJ63 CJN63 BZR63 BPV63 BFZ63 AWD63 AMH63 ACL63 SP63 IT63 WVF983240 WLJ983240 WBN983240 VRR983240 VHV983240 UXZ983240 UOD983240 UEH983240 TUL983240 TKP983240 TAT983240 SQX983240 SHB983240 RXF983240 RNJ983240 RDN983240 QTR983240 QJV983240 PZZ983240 PQD983240 PGH983240 OWL983240 OMP983240 OCT983240 NSX983240 NJB983240 MZF983240 MPJ983240 MFN983240 LVR983240 LLV983240 LBZ983240 KSD983240 KIH983240 JYL983240 JOP983240 JET983240 IUX983240 ILB983240 IBF983240 HRJ983240 HHN983240 GXR983240 GNV983240 GDZ983240 FUD983240 FKH983240 FAL983240 EQP983240 EGT983240 DWX983240 DNB983240 DDF983240 CTJ983240 CJN983240 BZR983240 BPV983240 BFZ983240 AWD983240 AMH983240 ACL983240 SP983240 IT983240 D983240 WVF917704 WLJ917704 WBN917704 VRR917704 VHV917704 UXZ917704 UOD917704 UEH917704 TUL917704 TKP917704 TAT917704 SQX917704 SHB917704 RXF917704 RNJ917704 RDN917704 QTR917704 QJV917704 PZZ917704 PQD917704 PGH917704 OWL917704 OMP917704 OCT917704 NSX917704 NJB917704 MZF917704 MPJ917704 MFN917704 LVR917704 LLV917704 LBZ917704 KSD917704 KIH917704 JYL917704 JOP917704 JET917704 IUX917704 ILB917704 IBF917704 HRJ917704 HHN917704 GXR917704 GNV917704 GDZ917704 FUD917704 FKH917704 FAL917704 EQP917704 EGT917704 DWX917704 DNB917704 DDF917704 CTJ917704 CJN917704 BZR917704 BPV917704 BFZ917704 AWD917704 AMH917704 ACL917704 SP917704 IT917704 D917704 WVF852168 WLJ852168 WBN852168 VRR852168 VHV852168 UXZ852168 UOD852168 UEH852168 TUL852168 TKP852168 TAT852168 SQX852168 SHB852168 RXF852168 RNJ852168 RDN852168 QTR852168 QJV852168 PZZ852168 PQD852168 PGH852168 OWL852168 OMP852168 OCT852168 NSX852168 NJB852168 MZF852168 MPJ852168 MFN852168 LVR852168 LLV852168 LBZ852168 KSD852168 KIH852168 JYL852168 JOP852168 JET852168 IUX852168 ILB852168 IBF852168 HRJ852168 HHN852168 GXR852168 GNV852168 GDZ852168 FUD852168 FKH852168 FAL852168 EQP852168 EGT852168 DWX852168 DNB852168 DDF852168 CTJ852168 CJN852168 BZR852168 BPV852168 BFZ852168 AWD852168 AMH852168 ACL852168 SP852168 IT852168 D852168 WVF786632 WLJ786632 WBN786632 VRR786632 VHV786632 UXZ786632 UOD786632 UEH786632 TUL786632 TKP786632 TAT786632 SQX786632 SHB786632 RXF786632 RNJ786632 RDN786632 QTR786632 QJV786632 PZZ786632 PQD786632 PGH786632 OWL786632 OMP786632 OCT786632 NSX786632 NJB786632 MZF786632 MPJ786632 MFN786632 LVR786632 LLV786632 LBZ786632 KSD786632 KIH786632 JYL786632 JOP786632 JET786632 IUX786632 ILB786632 IBF786632 HRJ786632 HHN786632 GXR786632 GNV786632 GDZ786632 FUD786632 FKH786632 FAL786632 EQP786632 EGT786632 DWX786632 DNB786632 DDF786632 CTJ786632 CJN786632 BZR786632 BPV786632 BFZ786632 AWD786632 AMH786632 ACL786632 SP786632 IT786632 D786632 WVF721096 WLJ721096 WBN721096 VRR721096 VHV721096 UXZ721096 UOD721096 UEH721096 TUL721096 TKP721096 TAT721096 SQX721096 SHB721096 RXF721096 RNJ721096 RDN721096 QTR721096 QJV721096 PZZ721096 PQD721096 PGH721096 OWL721096 OMP721096 OCT721096 NSX721096 NJB721096 MZF721096 MPJ721096 MFN721096 LVR721096 LLV721096 LBZ721096 KSD721096 KIH721096 JYL721096 JOP721096 JET721096 IUX721096 ILB721096 IBF721096 HRJ721096 HHN721096 GXR721096 GNV721096 GDZ721096 FUD721096 FKH721096 FAL721096 EQP721096 EGT721096 DWX721096 DNB721096 DDF721096 CTJ721096 CJN721096 BZR721096 BPV721096 BFZ721096 AWD721096 AMH721096 ACL721096 SP721096 IT721096 D721096 WVF655560 WLJ655560 WBN655560 VRR655560 VHV655560 UXZ655560 UOD655560 UEH655560 TUL655560 TKP655560 TAT655560 SQX655560 SHB655560 RXF655560 RNJ655560 RDN655560 QTR655560 QJV655560 PZZ655560 PQD655560 PGH655560 OWL655560 OMP655560 OCT655560 NSX655560 NJB655560 MZF655560 MPJ655560 MFN655560 LVR655560 LLV655560 LBZ655560 KSD655560 KIH655560 JYL655560 JOP655560 JET655560 IUX655560 ILB655560 IBF655560 HRJ655560 HHN655560 GXR655560 GNV655560 GDZ655560 FUD655560 FKH655560 FAL655560 EQP655560 EGT655560 DWX655560 DNB655560 DDF655560 CTJ655560 CJN655560 BZR655560 BPV655560 BFZ655560 AWD655560 AMH655560 ACL655560 SP655560 IT655560 D655560 WVF590024 WLJ590024 WBN590024 VRR590024 VHV590024 UXZ590024 UOD590024 UEH590024 TUL590024 TKP590024 TAT590024 SQX590024 SHB590024 RXF590024 RNJ590024 RDN590024 QTR590024 QJV590024 PZZ590024 PQD590024 PGH590024 OWL590024 OMP590024 OCT590024 NSX590024 NJB590024 MZF590024 MPJ590024 MFN590024 LVR590024 LLV590024 LBZ590024 KSD590024 KIH590024 JYL590024 JOP590024 JET590024 IUX590024 ILB590024 IBF590024 HRJ590024 HHN590024 GXR590024 GNV590024 GDZ590024 FUD590024 FKH590024 FAL590024 EQP590024 EGT590024 DWX590024 DNB590024 DDF590024 CTJ590024 CJN590024 BZR590024 BPV590024 BFZ590024 AWD590024 AMH590024 ACL590024 SP590024 IT590024 D590024 WVF524488 WLJ524488 WBN524488 VRR524488 VHV524488 UXZ524488 UOD524488 UEH524488 TUL524488 TKP524488 TAT524488 SQX524488 SHB524488 RXF524488 RNJ524488 RDN524488 QTR524488 QJV524488 PZZ524488 PQD524488 PGH524488 OWL524488 OMP524488 OCT524488 NSX524488 NJB524488 MZF524488 MPJ524488 MFN524488 LVR524488 LLV524488 LBZ524488 KSD524488 KIH524488 JYL524488 JOP524488 JET524488 IUX524488 ILB524488 IBF524488 HRJ524488 HHN524488 GXR524488 GNV524488 GDZ524488 FUD524488 FKH524488 FAL524488 EQP524488 EGT524488 DWX524488 DNB524488 DDF524488 CTJ524488 CJN524488 BZR524488 BPV524488 BFZ524488 AWD524488 AMH524488 ACL524488 SP524488 IT524488 D524488 WVF458952 WLJ458952 WBN458952 VRR458952 VHV458952 UXZ458952 UOD458952 UEH458952 TUL458952 TKP458952 TAT458952 SQX458952 SHB458952 RXF458952 RNJ458952 RDN458952 QTR458952 QJV458952 PZZ458952 PQD458952 PGH458952 OWL458952 OMP458952 OCT458952 NSX458952 NJB458952 MZF458952 MPJ458952 MFN458952 LVR458952 LLV458952 LBZ458952 KSD458952 KIH458952 JYL458952 JOP458952 JET458952 IUX458952 ILB458952 IBF458952 HRJ458952 HHN458952 GXR458952 GNV458952 GDZ458952 FUD458952 FKH458952 FAL458952 EQP458952 EGT458952 DWX458952 DNB458952 DDF458952 CTJ458952 CJN458952 BZR458952 BPV458952 BFZ458952 AWD458952 AMH458952 ACL458952 SP458952 IT458952 D458952 WVF393416 WLJ393416 WBN393416 VRR393416 VHV393416 UXZ393416 UOD393416 UEH393416 TUL393416 TKP393416 TAT393416 SQX393416 SHB393416 RXF393416 RNJ393416 RDN393416 QTR393416 QJV393416 PZZ393416 PQD393416 PGH393416 OWL393416 OMP393416 OCT393416 NSX393416 NJB393416 MZF393416 MPJ393416 MFN393416 LVR393416 LLV393416 LBZ393416 KSD393416 KIH393416 JYL393416 JOP393416 JET393416 IUX393416 ILB393416 IBF393416 HRJ393416 HHN393416 GXR393416 GNV393416 GDZ393416 FUD393416 FKH393416 FAL393416 EQP393416 EGT393416 DWX393416 DNB393416 DDF393416 CTJ393416 CJN393416 BZR393416 BPV393416 BFZ393416 AWD393416 AMH393416 ACL393416 SP393416 IT393416 D393416 WVF327880 WLJ327880 WBN327880 VRR327880 VHV327880 UXZ327880 UOD327880 UEH327880 TUL327880 TKP327880 TAT327880 SQX327880 SHB327880 RXF327880 RNJ327880 RDN327880 QTR327880 QJV327880 PZZ327880 PQD327880 PGH327880 OWL327880 OMP327880 OCT327880 NSX327880 NJB327880 MZF327880 MPJ327880 MFN327880 LVR327880 LLV327880 LBZ327880 KSD327880 KIH327880 JYL327880 JOP327880 JET327880 IUX327880 ILB327880 IBF327880 HRJ327880 HHN327880 GXR327880 GNV327880 GDZ327880 FUD327880 FKH327880 FAL327880 EQP327880 EGT327880 DWX327880 DNB327880 DDF327880 CTJ327880 CJN327880 BZR327880 BPV327880 BFZ327880 AWD327880 AMH327880 ACL327880 SP327880 IT327880 D327880 WVF262344 WLJ262344 WBN262344 VRR262344 VHV262344 UXZ262344 UOD262344 UEH262344 TUL262344 TKP262344 TAT262344 SQX262344 SHB262344 RXF262344 RNJ262344 RDN262344 QTR262344 QJV262344 PZZ262344 PQD262344 PGH262344 OWL262344 OMP262344 OCT262344 NSX262344 NJB262344 MZF262344 MPJ262344 MFN262344 LVR262344 LLV262344 LBZ262344 KSD262344 KIH262344 JYL262344 JOP262344 JET262344 IUX262344 ILB262344 IBF262344 HRJ262344 HHN262344 GXR262344 GNV262344 GDZ262344 FUD262344 FKH262344 FAL262344 EQP262344 EGT262344 DWX262344 DNB262344 DDF262344 CTJ262344 CJN262344 BZR262344 BPV262344 BFZ262344 AWD262344 AMH262344 ACL262344 SP262344 IT262344 D262344 WVF196808 WLJ196808 WBN196808 VRR196808 VHV196808 UXZ196808 UOD196808 UEH196808 TUL196808 TKP196808 TAT196808 SQX196808 SHB196808 RXF196808 RNJ196808 RDN196808 QTR196808 QJV196808 PZZ196808 PQD196808 PGH196808 OWL196808 OMP196808 OCT196808 NSX196808 NJB196808 MZF196808 MPJ196808 MFN196808 LVR196808 LLV196808 LBZ196808 KSD196808 KIH196808 JYL196808 JOP196808 JET196808 IUX196808 ILB196808 IBF196808 HRJ196808 HHN196808 GXR196808 GNV196808 GDZ196808 FUD196808 FKH196808 FAL196808 EQP196808 EGT196808 DWX196808 DNB196808 DDF196808 CTJ196808 CJN196808 BZR196808 BPV196808 BFZ196808 AWD196808 AMH196808 ACL196808 SP196808 IT196808 D196808 WVF131272 WLJ131272 WBN131272 VRR131272 VHV131272 UXZ131272 UOD131272 UEH131272 TUL131272 TKP131272 TAT131272 SQX131272 SHB131272 RXF131272 RNJ131272 RDN131272 QTR131272 QJV131272 PZZ131272 PQD131272 PGH131272 OWL131272 OMP131272 OCT131272 NSX131272 NJB131272 MZF131272 MPJ131272 MFN131272 LVR131272 LLV131272 LBZ131272 KSD131272 KIH131272 JYL131272 JOP131272 JET131272 IUX131272 ILB131272 IBF131272 HRJ131272 HHN131272 GXR131272 GNV131272 GDZ131272 FUD131272 FKH131272 FAL131272 EQP131272 EGT131272 DWX131272 DNB131272 DDF131272 CTJ131272 CJN131272 BZR131272 BPV131272 BFZ131272 AWD131272 AMH131272 ACL131272 SP131272 IT131272 D131272 WVF65736 WLJ65736 WBN65736 VRR65736 VHV65736 UXZ65736 UOD65736 UEH65736 TUL65736 TKP65736 TAT65736 SQX65736 SHB65736 RXF65736 RNJ65736 RDN65736 QTR65736 QJV65736 PZZ65736 PQD65736 PGH65736 OWL65736 OMP65736 OCT65736 NSX65736 NJB65736 MZF65736 MPJ65736 MFN65736 LVR65736 LLV65736 LBZ65736 KSD65736 KIH65736 JYL65736 JOP65736 JET65736 IUX65736 ILB65736 IBF65736 HRJ65736 HHN65736 GXR65736 GNV65736 GDZ65736 FUD65736 FKH65736 FAL65736 EQP65736 EGT65736 DWX65736 DNB65736 DDF65736 CTJ65736 CJN65736 BZR65736 BPV65736 BFZ65736 AWD65736 AMH65736 ACL65736 SP65736 IT65736 D65736 WVF200 WLJ200 WBN200 VRR200 VHV200 UXZ200 UOD200 UEH200 TUL200 TKP200 TAT200 SQX200 SHB200 RXF200 RNJ200 RDN200 QTR200 QJV200 PZZ200 PQD200 PGH200 OWL200 OMP200 OCT200 NSX200 NJB200 MZF200 MPJ200 MFN200 LVR200 LLV200 LBZ200 KSD200 KIH200 JYL200 JOP200 JET200 IUX200 ILB200 IBF200 HRJ200 HHN200 GXR200 GNV200 GDZ200 FUD200 FKH200 FAL200 EQP200 EGT200 DWX200 DNB200 DDF200 CTJ200 CJN200 BZR200 BPV200 BFZ200 AWD200 AMH200 ACL200 SP200</xm:sqref>
        </x14:dataValidation>
        <x14:dataValidation type="list" allowBlank="1" showInputMessage="1" showErrorMessage="1">
          <x14:formula1>
            <xm:f>catalogo!$B$2:$B$3</xm:f>
          </x14:formula1>
          <xm:sqref>D45 D47 D49 D51 D53 D59 G59 D179 D188 D200 D20 D55:D57</xm:sqref>
        </x14:dataValidation>
        <x14:dataValidation type="list" allowBlank="1" showInputMessage="1" showErrorMessage="1">
          <x14:formula1>
            <xm:f>catalogo!$D$2:$D$3</xm:f>
          </x14:formula1>
          <xm:sqref>D63</xm:sqref>
        </x14:dataValidation>
        <x14:dataValidation type="list" allowBlank="1" showInputMessage="1" showErrorMessage="1">
          <x14:formula1>
            <xm:f>catalogo!$E$2:$E$15</xm:f>
          </x14:formula1>
          <xm:sqref>C67:D67</xm:sqref>
        </x14:dataValidation>
        <x14:dataValidation type="list" allowBlank="1" showInputMessage="1" showErrorMessage="1">
          <x14:formula1>
            <xm:f>catalogo!$F$2:$F$4</xm:f>
          </x14:formula1>
          <xm:sqref>D87</xm:sqref>
        </x14:dataValidation>
        <x14:dataValidation type="list" allowBlank="1" showInputMessage="1" showErrorMessage="1">
          <x14:formula1>
            <xm:f>catalogo!$G$2:$G$5</xm:f>
          </x14:formula1>
          <xm:sqref>D110</xm:sqref>
        </x14:dataValidation>
        <x14:dataValidation type="list" allowBlank="1" showInputMessage="1" showErrorMessage="1">
          <x14:formula1>
            <xm:f>catalogo!$H$2:$H$5</xm:f>
          </x14:formula1>
          <xm:sqref>D112</xm:sqref>
        </x14:dataValidation>
        <x14:dataValidation type="list" allowBlank="1" showInputMessage="1" showErrorMessage="1">
          <x14:formula1>
            <xm:f>catalogo!$C$2:$C$4</xm:f>
          </x14:formula1>
          <xm:sqref>D42</xm:sqref>
        </x14:dataValidation>
        <x14:dataValidation type="date" operator="lessThan" allowBlank="1" showInputMessage="1" showErrorMessage="1">
          <x14:formula1>
            <xm:f>catalogo!$I$2</xm:f>
          </x14:formula1>
          <xm:sqref>E45</xm:sqref>
        </x14:dataValidation>
        <x14:dataValidation type="list" allowBlank="1" showInputMessage="1" showErrorMessage="1">
          <x14:formula1>
            <xm:f>catalogo!A2:A25</xm:f>
          </x14:formula1>
          <xm:sqref>D24</xm:sqref>
        </x14:dataValidation>
      </x14:dataValidations>
    </ext>
  </extLst>
</worksheet>
</file>

<file path=xl/worksheets/sheet2.xml><?xml version="1.0" encoding="utf-8"?>
<worksheet xmlns="http://schemas.openxmlformats.org/spreadsheetml/2006/main" xmlns:r="http://schemas.openxmlformats.org/officeDocument/2006/relationships">
  <sheetPr codeName="Hoja14"/>
  <dimension ref="A2:D15"/>
  <sheetViews>
    <sheetView zoomScale="130" zoomScaleNormal="130" workbookViewId="0">
      <selection activeCell="B16" sqref="B16"/>
    </sheetView>
  </sheetViews>
  <sheetFormatPr baseColWidth="10" defaultRowHeight="15"/>
  <cols>
    <col min="1" max="1" width="18.7109375" style="1" customWidth="1"/>
    <col min="2" max="2" width="33.140625" style="1" customWidth="1"/>
    <col min="3" max="3" width="32.140625" style="1" customWidth="1"/>
    <col min="4" max="16384" width="11.42578125" style="1"/>
  </cols>
  <sheetData>
    <row r="2" spans="1:4">
      <c r="A2" s="94" t="s">
        <v>166</v>
      </c>
    </row>
    <row r="3" spans="1:4" ht="18.75">
      <c r="B3" s="238" t="s">
        <v>4</v>
      </c>
      <c r="C3" s="239"/>
    </row>
    <row r="5" spans="1:4">
      <c r="B5" s="76" t="s">
        <v>137</v>
      </c>
      <c r="C5" s="93">
        <v>1234567898001</v>
      </c>
    </row>
    <row r="7" spans="1:4">
      <c r="B7" s="76" t="s">
        <v>138</v>
      </c>
      <c r="C7" s="67" t="s">
        <v>199</v>
      </c>
    </row>
    <row r="9" spans="1:4">
      <c r="B9" s="76" t="s">
        <v>139</v>
      </c>
      <c r="C9" s="9" t="s">
        <v>217</v>
      </c>
    </row>
    <row r="11" spans="1:4">
      <c r="B11" s="76" t="s">
        <v>140</v>
      </c>
      <c r="C11" s="9" t="s">
        <v>198</v>
      </c>
    </row>
    <row r="13" spans="1:4">
      <c r="B13" s="76" t="s">
        <v>11</v>
      </c>
      <c r="C13" s="9" t="s">
        <v>197</v>
      </c>
      <c r="D13" s="69"/>
    </row>
    <row r="14" spans="1:4">
      <c r="D14" s="69"/>
    </row>
    <row r="15" spans="1:4">
      <c r="B15" s="76" t="s">
        <v>14</v>
      </c>
      <c r="C15" s="9" t="s">
        <v>1</v>
      </c>
    </row>
  </sheetData>
  <sheetProtection password="86F2" sheet="1" objects="1" scenarios="1"/>
  <mergeCells count="1">
    <mergeCell ref="B3:C3"/>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Hoja15"/>
  <dimension ref="A2:F16"/>
  <sheetViews>
    <sheetView zoomScale="120" zoomScaleNormal="120" workbookViewId="0"/>
  </sheetViews>
  <sheetFormatPr baseColWidth="10" defaultRowHeight="15"/>
  <cols>
    <col min="1" max="1" width="15.140625" style="1" customWidth="1"/>
    <col min="2" max="2" width="35" style="1" customWidth="1"/>
    <col min="3" max="3" width="19.5703125" style="1" customWidth="1"/>
    <col min="4" max="4" width="11.42578125" style="1"/>
    <col min="5" max="5" width="23" style="1" customWidth="1"/>
    <col min="6" max="6" width="18.140625" style="1" customWidth="1"/>
    <col min="7" max="16384" width="11.42578125" style="1"/>
  </cols>
  <sheetData>
    <row r="2" spans="1:6">
      <c r="A2" s="74" t="s">
        <v>166</v>
      </c>
    </row>
    <row r="3" spans="1:6">
      <c r="B3" s="75" t="s">
        <v>17</v>
      </c>
    </row>
    <row r="5" spans="1:6">
      <c r="B5" s="76" t="s">
        <v>20</v>
      </c>
      <c r="C5" s="9" t="s">
        <v>10</v>
      </c>
    </row>
    <row r="7" spans="1:6">
      <c r="B7" s="76" t="s">
        <v>23</v>
      </c>
      <c r="C7" s="9" t="s">
        <v>167</v>
      </c>
      <c r="D7" s="2"/>
    </row>
    <row r="9" spans="1:6">
      <c r="B9" s="76" t="s">
        <v>26</v>
      </c>
      <c r="C9" s="9" t="s">
        <v>168</v>
      </c>
      <c r="D9" s="2"/>
    </row>
    <row r="11" spans="1:6">
      <c r="B11" s="240" t="s">
        <v>29</v>
      </c>
      <c r="C11" s="241" t="s">
        <v>216</v>
      </c>
      <c r="D11" s="242"/>
      <c r="E11" s="243"/>
    </row>
    <row r="12" spans="1:6">
      <c r="B12" s="240"/>
      <c r="C12" s="244"/>
      <c r="D12" s="245"/>
      <c r="E12" s="246"/>
    </row>
    <row r="14" spans="1:6">
      <c r="B14" s="76" t="s">
        <v>33</v>
      </c>
      <c r="C14" s="10">
        <v>32132654</v>
      </c>
      <c r="D14" s="77">
        <v>4512</v>
      </c>
      <c r="E14" s="76" t="s">
        <v>34</v>
      </c>
      <c r="F14" s="11">
        <v>998820297</v>
      </c>
    </row>
    <row r="16" spans="1:6" ht="30" customHeight="1">
      <c r="B16" s="76" t="s">
        <v>141</v>
      </c>
      <c r="C16" s="78" t="s">
        <v>169</v>
      </c>
      <c r="E16" s="79" t="s">
        <v>37</v>
      </c>
      <c r="F16" s="78" t="s">
        <v>170</v>
      </c>
    </row>
  </sheetData>
  <sheetProtection password="86F2" sheet="1" objects="1" scenarios="1"/>
  <mergeCells count="2">
    <mergeCell ref="B11:B12"/>
    <mergeCell ref="C11:E12"/>
  </mergeCells>
  <hyperlinks>
    <hyperlink ref="C16" r:id="rId1"/>
    <hyperlink ref="F16" r:id="rId2"/>
  </hyperlinks>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sheetPr codeName="Hoja16"/>
  <dimension ref="A2:D69"/>
  <sheetViews>
    <sheetView workbookViewId="0"/>
  </sheetViews>
  <sheetFormatPr baseColWidth="10" defaultRowHeight="15"/>
  <cols>
    <col min="1" max="1" width="30.7109375" style="1" customWidth="1"/>
    <col min="2" max="2" width="45.5703125" style="1" customWidth="1"/>
    <col min="3" max="3" width="40.5703125" style="1" customWidth="1"/>
    <col min="4" max="4" width="46.7109375" style="1" customWidth="1"/>
    <col min="5" max="16384" width="11.42578125" style="1"/>
  </cols>
  <sheetData>
    <row r="2" spans="1:4" ht="18.75">
      <c r="A2" s="74" t="s">
        <v>166</v>
      </c>
      <c r="B2" s="247" t="s">
        <v>4</v>
      </c>
      <c r="C2" s="248"/>
      <c r="D2"/>
    </row>
    <row r="4" spans="1:4">
      <c r="B4" s="6" t="s">
        <v>39</v>
      </c>
      <c r="C4" s="8"/>
    </row>
    <row r="5" spans="1:4">
      <c r="B5" s="3"/>
      <c r="C5" s="14"/>
    </row>
    <row r="6" spans="1:4">
      <c r="B6" s="249" t="s">
        <v>220</v>
      </c>
      <c r="C6" s="250"/>
    </row>
    <row r="7" spans="1:4">
      <c r="B7" s="251"/>
      <c r="C7" s="252"/>
    </row>
    <row r="8" spans="1:4">
      <c r="B8" s="251"/>
      <c r="C8" s="252"/>
    </row>
    <row r="9" spans="1:4">
      <c r="B9" s="251"/>
      <c r="C9" s="252"/>
    </row>
    <row r="10" spans="1:4">
      <c r="B10" s="251"/>
      <c r="C10" s="252"/>
    </row>
    <row r="11" spans="1:4">
      <c r="B11" s="251"/>
      <c r="C11" s="252"/>
    </row>
    <row r="12" spans="1:4">
      <c r="B12" s="251"/>
      <c r="C12" s="252"/>
    </row>
    <row r="13" spans="1:4">
      <c r="B13" s="251"/>
      <c r="C13" s="252"/>
    </row>
    <row r="14" spans="1:4">
      <c r="B14" s="251"/>
      <c r="C14" s="252"/>
    </row>
    <row r="15" spans="1:4">
      <c r="B15" s="251"/>
      <c r="C15" s="252"/>
    </row>
    <row r="16" spans="1:4">
      <c r="B16" s="251"/>
      <c r="C16" s="252"/>
    </row>
    <row r="17" spans="2:3">
      <c r="B17" s="251"/>
      <c r="C17" s="252"/>
    </row>
    <row r="18" spans="2:3">
      <c r="B18" s="251"/>
      <c r="C18" s="252"/>
    </row>
    <row r="19" spans="2:3">
      <c r="B19" s="251"/>
      <c r="C19" s="252"/>
    </row>
    <row r="20" spans="2:3">
      <c r="B20" s="251"/>
      <c r="C20" s="252"/>
    </row>
    <row r="21" spans="2:3">
      <c r="B21" s="251"/>
      <c r="C21" s="252"/>
    </row>
    <row r="22" spans="2:3">
      <c r="B22" s="251"/>
      <c r="C22" s="252"/>
    </row>
    <row r="23" spans="2:3">
      <c r="B23" s="253"/>
      <c r="C23" s="254"/>
    </row>
    <row r="25" spans="2:3">
      <c r="B25" s="6" t="s">
        <v>40</v>
      </c>
      <c r="C25" s="8"/>
    </row>
    <row r="27" spans="2:3">
      <c r="B27" s="255" t="s">
        <v>221</v>
      </c>
      <c r="C27" s="256"/>
    </row>
    <row r="28" spans="2:3">
      <c r="B28" s="257"/>
      <c r="C28" s="258"/>
    </row>
    <row r="29" spans="2:3">
      <c r="B29" s="257"/>
      <c r="C29" s="258"/>
    </row>
    <row r="30" spans="2:3">
      <c r="B30" s="257"/>
      <c r="C30" s="258"/>
    </row>
    <row r="31" spans="2:3">
      <c r="B31" s="257"/>
      <c r="C31" s="258"/>
    </row>
    <row r="32" spans="2:3">
      <c r="B32" s="257"/>
      <c r="C32" s="258"/>
    </row>
    <row r="33" spans="2:3">
      <c r="B33" s="257"/>
      <c r="C33" s="258"/>
    </row>
    <row r="34" spans="2:3">
      <c r="B34" s="257"/>
      <c r="C34" s="258"/>
    </row>
    <row r="35" spans="2:3">
      <c r="B35" s="257"/>
      <c r="C35" s="258"/>
    </row>
    <row r="36" spans="2:3">
      <c r="B36" s="257"/>
      <c r="C36" s="258"/>
    </row>
    <row r="37" spans="2:3">
      <c r="B37" s="257"/>
      <c r="C37" s="258"/>
    </row>
    <row r="38" spans="2:3">
      <c r="B38" s="257"/>
      <c r="C38" s="258"/>
    </row>
    <row r="39" spans="2:3">
      <c r="B39" s="257"/>
      <c r="C39" s="258"/>
    </row>
    <row r="40" spans="2:3">
      <c r="B40" s="257"/>
      <c r="C40" s="258"/>
    </row>
    <row r="41" spans="2:3">
      <c r="B41" s="257"/>
      <c r="C41" s="258"/>
    </row>
    <row r="42" spans="2:3">
      <c r="B42" s="257"/>
      <c r="C42" s="258"/>
    </row>
    <row r="43" spans="2:3">
      <c r="B43" s="257"/>
      <c r="C43" s="258"/>
    </row>
    <row r="44" spans="2:3">
      <c r="B44" s="257"/>
      <c r="C44" s="258"/>
    </row>
    <row r="45" spans="2:3">
      <c r="B45" s="257"/>
      <c r="C45" s="258"/>
    </row>
    <row r="46" spans="2:3">
      <c r="B46" s="257"/>
      <c r="C46" s="258"/>
    </row>
    <row r="47" spans="2:3">
      <c r="B47" s="257"/>
      <c r="C47" s="258"/>
    </row>
    <row r="48" spans="2:3">
      <c r="B48" s="257"/>
      <c r="C48" s="258"/>
    </row>
    <row r="49" spans="2:3">
      <c r="B49" s="257"/>
      <c r="C49" s="258"/>
    </row>
    <row r="50" spans="2:3">
      <c r="B50" s="257"/>
      <c r="C50" s="258"/>
    </row>
    <row r="51" spans="2:3">
      <c r="B51" s="257"/>
      <c r="C51" s="258"/>
    </row>
    <row r="52" spans="2:3">
      <c r="B52" s="257"/>
      <c r="C52" s="258"/>
    </row>
    <row r="53" spans="2:3">
      <c r="B53" s="257"/>
      <c r="C53" s="258"/>
    </row>
    <row r="54" spans="2:3">
      <c r="B54" s="257"/>
      <c r="C54" s="258"/>
    </row>
    <row r="55" spans="2:3">
      <c r="B55" s="257"/>
      <c r="C55" s="258"/>
    </row>
    <row r="56" spans="2:3">
      <c r="B56" s="257"/>
      <c r="C56" s="258"/>
    </row>
    <row r="57" spans="2:3">
      <c r="B57" s="257"/>
      <c r="C57" s="258"/>
    </row>
    <row r="58" spans="2:3">
      <c r="B58" s="257"/>
      <c r="C58" s="258"/>
    </row>
    <row r="59" spans="2:3">
      <c r="B59" s="257"/>
      <c r="C59" s="258"/>
    </row>
    <row r="60" spans="2:3">
      <c r="B60" s="257"/>
      <c r="C60" s="258"/>
    </row>
    <row r="61" spans="2:3">
      <c r="B61" s="257"/>
      <c r="C61" s="258"/>
    </row>
    <row r="62" spans="2:3">
      <c r="B62" s="257"/>
      <c r="C62" s="258"/>
    </row>
    <row r="63" spans="2:3">
      <c r="B63" s="257"/>
      <c r="C63" s="258"/>
    </row>
    <row r="64" spans="2:3">
      <c r="B64" s="259"/>
      <c r="C64" s="260"/>
    </row>
    <row r="66" spans="2:4">
      <c r="B66" s="83" t="s">
        <v>180</v>
      </c>
      <c r="C66" s="83" t="s">
        <v>179</v>
      </c>
      <c r="D66" s="83" t="s">
        <v>178</v>
      </c>
    </row>
    <row r="67" spans="2:4" ht="45">
      <c r="B67" s="82" t="s">
        <v>177</v>
      </c>
      <c r="C67" s="82" t="s">
        <v>176</v>
      </c>
      <c r="D67" s="108" t="s">
        <v>218</v>
      </c>
    </row>
    <row r="68" spans="2:4" ht="60">
      <c r="B68" s="9" t="s">
        <v>175</v>
      </c>
      <c r="C68" s="9" t="s">
        <v>174</v>
      </c>
      <c r="D68" s="109" t="s">
        <v>219</v>
      </c>
    </row>
    <row r="69" spans="2:4" ht="60">
      <c r="B69" s="9" t="s">
        <v>173</v>
      </c>
      <c r="C69" s="9" t="s">
        <v>172</v>
      </c>
      <c r="D69" s="80" t="s">
        <v>171</v>
      </c>
    </row>
  </sheetData>
  <sheetProtection password="86F2" sheet="1" objects="1" scenarios="1"/>
  <mergeCells count="3">
    <mergeCell ref="B2:C2"/>
    <mergeCell ref="B6:C23"/>
    <mergeCell ref="B27:C64"/>
  </mergeCells>
  <dataValidations count="1">
    <dataValidation type="list" allowBlank="1" showInputMessage="1" showErrorMessage="1" sqref="C25 WVK983065 WLO983065 WBS983065 VRW983065 VIA983065 UYE983065 UOI983065 UEM983065 TUQ983065 TKU983065 TAY983065 SRC983065 SHG983065 RXK983065 RNO983065 RDS983065 QTW983065 QKA983065 QAE983065 PQI983065 PGM983065 OWQ983065 OMU983065 OCY983065 NTC983065 NJG983065 MZK983065 MPO983065 MFS983065 LVW983065 LMA983065 LCE983065 KSI983065 KIM983065 JYQ983065 JOU983065 JEY983065 IVC983065 ILG983065 IBK983065 HRO983065 HHS983065 GXW983065 GOA983065 GEE983065 FUI983065 FKM983065 FAQ983065 EQU983065 EGY983065 DXC983065 DNG983065 DDK983065 CTO983065 CJS983065 BZW983065 BQA983065 BGE983065 AWI983065 AMM983065 ACQ983065 SU983065 IY983065 C983065 WVK917529 WLO917529 WBS917529 VRW917529 VIA917529 UYE917529 UOI917529 UEM917529 TUQ917529 TKU917529 TAY917529 SRC917529 SHG917529 RXK917529 RNO917529 RDS917529 QTW917529 QKA917529 QAE917529 PQI917529 PGM917529 OWQ917529 OMU917529 OCY917529 NTC917529 NJG917529 MZK917529 MPO917529 MFS917529 LVW917529 LMA917529 LCE917529 KSI917529 KIM917529 JYQ917529 JOU917529 JEY917529 IVC917529 ILG917529 IBK917529 HRO917529 HHS917529 GXW917529 GOA917529 GEE917529 FUI917529 FKM917529 FAQ917529 EQU917529 EGY917529 DXC917529 DNG917529 DDK917529 CTO917529 CJS917529 BZW917529 BQA917529 BGE917529 AWI917529 AMM917529 ACQ917529 SU917529 IY917529 C917529 WVK851993 WLO851993 WBS851993 VRW851993 VIA851993 UYE851993 UOI851993 UEM851993 TUQ851993 TKU851993 TAY851993 SRC851993 SHG851993 RXK851993 RNO851993 RDS851993 QTW851993 QKA851993 QAE851993 PQI851993 PGM851993 OWQ851993 OMU851993 OCY851993 NTC851993 NJG851993 MZK851993 MPO851993 MFS851993 LVW851993 LMA851993 LCE851993 KSI851993 KIM851993 JYQ851993 JOU851993 JEY851993 IVC851993 ILG851993 IBK851993 HRO851993 HHS851993 GXW851993 GOA851993 GEE851993 FUI851993 FKM851993 FAQ851993 EQU851993 EGY851993 DXC851993 DNG851993 DDK851993 CTO851993 CJS851993 BZW851993 BQA851993 BGE851993 AWI851993 AMM851993 ACQ851993 SU851993 IY851993 C851993 WVK786457 WLO786457 WBS786457 VRW786457 VIA786457 UYE786457 UOI786457 UEM786457 TUQ786457 TKU786457 TAY786457 SRC786457 SHG786457 RXK786457 RNO786457 RDS786457 QTW786457 QKA786457 QAE786457 PQI786457 PGM786457 OWQ786457 OMU786457 OCY786457 NTC786457 NJG786457 MZK786457 MPO786457 MFS786457 LVW786457 LMA786457 LCE786457 KSI786457 KIM786457 JYQ786457 JOU786457 JEY786457 IVC786457 ILG786457 IBK786457 HRO786457 HHS786457 GXW786457 GOA786457 GEE786457 FUI786457 FKM786457 FAQ786457 EQU786457 EGY786457 DXC786457 DNG786457 DDK786457 CTO786457 CJS786457 BZW786457 BQA786457 BGE786457 AWI786457 AMM786457 ACQ786457 SU786457 IY786457 C786457 WVK720921 WLO720921 WBS720921 VRW720921 VIA720921 UYE720921 UOI720921 UEM720921 TUQ720921 TKU720921 TAY720921 SRC720921 SHG720921 RXK720921 RNO720921 RDS720921 QTW720921 QKA720921 QAE720921 PQI720921 PGM720921 OWQ720921 OMU720921 OCY720921 NTC720921 NJG720921 MZK720921 MPO720921 MFS720921 LVW720921 LMA720921 LCE720921 KSI720921 KIM720921 JYQ720921 JOU720921 JEY720921 IVC720921 ILG720921 IBK720921 HRO720921 HHS720921 GXW720921 GOA720921 GEE720921 FUI720921 FKM720921 FAQ720921 EQU720921 EGY720921 DXC720921 DNG720921 DDK720921 CTO720921 CJS720921 BZW720921 BQA720921 BGE720921 AWI720921 AMM720921 ACQ720921 SU720921 IY720921 C720921 WVK655385 WLO655385 WBS655385 VRW655385 VIA655385 UYE655385 UOI655385 UEM655385 TUQ655385 TKU655385 TAY655385 SRC655385 SHG655385 RXK655385 RNO655385 RDS655385 QTW655385 QKA655385 QAE655385 PQI655385 PGM655385 OWQ655385 OMU655385 OCY655385 NTC655385 NJG655385 MZK655385 MPO655385 MFS655385 LVW655385 LMA655385 LCE655385 KSI655385 KIM655385 JYQ655385 JOU655385 JEY655385 IVC655385 ILG655385 IBK655385 HRO655385 HHS655385 GXW655385 GOA655385 GEE655385 FUI655385 FKM655385 FAQ655385 EQU655385 EGY655385 DXC655385 DNG655385 DDK655385 CTO655385 CJS655385 BZW655385 BQA655385 BGE655385 AWI655385 AMM655385 ACQ655385 SU655385 IY655385 C655385 WVK589849 WLO589849 WBS589849 VRW589849 VIA589849 UYE589849 UOI589849 UEM589849 TUQ589849 TKU589849 TAY589849 SRC589849 SHG589849 RXK589849 RNO589849 RDS589849 QTW589849 QKA589849 QAE589849 PQI589849 PGM589849 OWQ589849 OMU589849 OCY589849 NTC589849 NJG589849 MZK589849 MPO589849 MFS589849 LVW589849 LMA589849 LCE589849 KSI589849 KIM589849 JYQ589849 JOU589849 JEY589849 IVC589849 ILG589849 IBK589849 HRO589849 HHS589849 GXW589849 GOA589849 GEE589849 FUI589849 FKM589849 FAQ589849 EQU589849 EGY589849 DXC589849 DNG589849 DDK589849 CTO589849 CJS589849 BZW589849 BQA589849 BGE589849 AWI589849 AMM589849 ACQ589849 SU589849 IY589849 C589849 WVK524313 WLO524313 WBS524313 VRW524313 VIA524313 UYE524313 UOI524313 UEM524313 TUQ524313 TKU524313 TAY524313 SRC524313 SHG524313 RXK524313 RNO524313 RDS524313 QTW524313 QKA524313 QAE524313 PQI524313 PGM524313 OWQ524313 OMU524313 OCY524313 NTC524313 NJG524313 MZK524313 MPO524313 MFS524313 LVW524313 LMA524313 LCE524313 KSI524313 KIM524313 JYQ524313 JOU524313 JEY524313 IVC524313 ILG524313 IBK524313 HRO524313 HHS524313 GXW524313 GOA524313 GEE524313 FUI524313 FKM524313 FAQ524313 EQU524313 EGY524313 DXC524313 DNG524313 DDK524313 CTO524313 CJS524313 BZW524313 BQA524313 BGE524313 AWI524313 AMM524313 ACQ524313 SU524313 IY524313 C524313 WVK458777 WLO458777 WBS458777 VRW458777 VIA458777 UYE458777 UOI458777 UEM458777 TUQ458777 TKU458777 TAY458777 SRC458777 SHG458777 RXK458777 RNO458777 RDS458777 QTW458777 QKA458777 QAE458777 PQI458777 PGM458777 OWQ458777 OMU458777 OCY458777 NTC458777 NJG458777 MZK458777 MPO458777 MFS458777 LVW458777 LMA458777 LCE458777 KSI458777 KIM458777 JYQ458777 JOU458777 JEY458777 IVC458777 ILG458777 IBK458777 HRO458777 HHS458777 GXW458777 GOA458777 GEE458777 FUI458777 FKM458777 FAQ458777 EQU458777 EGY458777 DXC458777 DNG458777 DDK458777 CTO458777 CJS458777 BZW458777 BQA458777 BGE458777 AWI458777 AMM458777 ACQ458777 SU458777 IY458777 C458777 WVK393241 WLO393241 WBS393241 VRW393241 VIA393241 UYE393241 UOI393241 UEM393241 TUQ393241 TKU393241 TAY393241 SRC393241 SHG393241 RXK393241 RNO393241 RDS393241 QTW393241 QKA393241 QAE393241 PQI393241 PGM393241 OWQ393241 OMU393241 OCY393241 NTC393241 NJG393241 MZK393241 MPO393241 MFS393241 LVW393241 LMA393241 LCE393241 KSI393241 KIM393241 JYQ393241 JOU393241 JEY393241 IVC393241 ILG393241 IBK393241 HRO393241 HHS393241 GXW393241 GOA393241 GEE393241 FUI393241 FKM393241 FAQ393241 EQU393241 EGY393241 DXC393241 DNG393241 DDK393241 CTO393241 CJS393241 BZW393241 BQA393241 BGE393241 AWI393241 AMM393241 ACQ393241 SU393241 IY393241 C393241 WVK327705 WLO327705 WBS327705 VRW327705 VIA327705 UYE327705 UOI327705 UEM327705 TUQ327705 TKU327705 TAY327705 SRC327705 SHG327705 RXK327705 RNO327705 RDS327705 QTW327705 QKA327705 QAE327705 PQI327705 PGM327705 OWQ327705 OMU327705 OCY327705 NTC327705 NJG327705 MZK327705 MPO327705 MFS327705 LVW327705 LMA327705 LCE327705 KSI327705 KIM327705 JYQ327705 JOU327705 JEY327705 IVC327705 ILG327705 IBK327705 HRO327705 HHS327705 GXW327705 GOA327705 GEE327705 FUI327705 FKM327705 FAQ327705 EQU327705 EGY327705 DXC327705 DNG327705 DDK327705 CTO327705 CJS327705 BZW327705 BQA327705 BGE327705 AWI327705 AMM327705 ACQ327705 SU327705 IY327705 C327705 WVK262169 WLO262169 WBS262169 VRW262169 VIA262169 UYE262169 UOI262169 UEM262169 TUQ262169 TKU262169 TAY262169 SRC262169 SHG262169 RXK262169 RNO262169 RDS262169 QTW262169 QKA262169 QAE262169 PQI262169 PGM262169 OWQ262169 OMU262169 OCY262169 NTC262169 NJG262169 MZK262169 MPO262169 MFS262169 LVW262169 LMA262169 LCE262169 KSI262169 KIM262169 JYQ262169 JOU262169 JEY262169 IVC262169 ILG262169 IBK262169 HRO262169 HHS262169 GXW262169 GOA262169 GEE262169 FUI262169 FKM262169 FAQ262169 EQU262169 EGY262169 DXC262169 DNG262169 DDK262169 CTO262169 CJS262169 BZW262169 BQA262169 BGE262169 AWI262169 AMM262169 ACQ262169 SU262169 IY262169 C262169 WVK196633 WLO196633 WBS196633 VRW196633 VIA196633 UYE196633 UOI196633 UEM196633 TUQ196633 TKU196633 TAY196633 SRC196633 SHG196633 RXK196633 RNO196633 RDS196633 QTW196633 QKA196633 QAE196633 PQI196633 PGM196633 OWQ196633 OMU196633 OCY196633 NTC196633 NJG196633 MZK196633 MPO196633 MFS196633 LVW196633 LMA196633 LCE196633 KSI196633 KIM196633 JYQ196633 JOU196633 JEY196633 IVC196633 ILG196633 IBK196633 HRO196633 HHS196633 GXW196633 GOA196633 GEE196633 FUI196633 FKM196633 FAQ196633 EQU196633 EGY196633 DXC196633 DNG196633 DDK196633 CTO196633 CJS196633 BZW196633 BQA196633 BGE196633 AWI196633 AMM196633 ACQ196633 SU196633 IY196633 C196633 WVK131097 WLO131097 WBS131097 VRW131097 VIA131097 UYE131097 UOI131097 UEM131097 TUQ131097 TKU131097 TAY131097 SRC131097 SHG131097 RXK131097 RNO131097 RDS131097 QTW131097 QKA131097 QAE131097 PQI131097 PGM131097 OWQ131097 OMU131097 OCY131097 NTC131097 NJG131097 MZK131097 MPO131097 MFS131097 LVW131097 LMA131097 LCE131097 KSI131097 KIM131097 JYQ131097 JOU131097 JEY131097 IVC131097 ILG131097 IBK131097 HRO131097 HHS131097 GXW131097 GOA131097 GEE131097 FUI131097 FKM131097 FAQ131097 EQU131097 EGY131097 DXC131097 DNG131097 DDK131097 CTO131097 CJS131097 BZW131097 BQA131097 BGE131097 AWI131097 AMM131097 ACQ131097 SU131097 IY131097 C131097 WVK65561 WLO65561 WBS65561 VRW65561 VIA65561 UYE65561 UOI65561 UEM65561 TUQ65561 TKU65561 TAY65561 SRC65561 SHG65561 RXK65561 RNO65561 RDS65561 QTW65561 QKA65561 QAE65561 PQI65561 PGM65561 OWQ65561 OMU65561 OCY65561 NTC65561 NJG65561 MZK65561 MPO65561 MFS65561 LVW65561 LMA65561 LCE65561 KSI65561 KIM65561 JYQ65561 JOU65561 JEY65561 IVC65561 ILG65561 IBK65561 HRO65561 HHS65561 GXW65561 GOA65561 GEE65561 FUI65561 FKM65561 FAQ65561 EQU65561 EGY65561 DXC65561 DNG65561 DDK65561 CTO65561 CJS65561 BZW65561 BQA65561 BGE65561 AWI65561 AMM65561 ACQ65561 SU65561 IY65561 C65561 WVK25 WLO25 WBS25 VRW25 VIA25 UYE25 UOI25 UEM25 TUQ25 TKU25 TAY25 SRC25 SHG25 RXK25 RNO25 RDS25 QTW25 QKA25 QAE25 PQI25 PGM25 OWQ25 OMU25 OCY25 NTC25 NJG25 MZK25 MPO25 MFS25 LVW25 LMA25 LCE25 KSI25 KIM25 JYQ25 JOU25 JEY25 IVC25 ILG25 IBK25 HRO25 HHS25 GXW25 GOA25 GEE25 FUI25 FKM25 FAQ25 EQU25 EGY25 DXC25 DNG25 DDK25 CTO25 CJS25 BZW25 BQA25 BGE25 AWI25 AMM25 ACQ25 SU25 IY25">
      <formula1>$IN$50:$IN$52</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Hoja17"/>
  <dimension ref="A2:D15"/>
  <sheetViews>
    <sheetView workbookViewId="0"/>
  </sheetViews>
  <sheetFormatPr baseColWidth="10" defaultRowHeight="15"/>
  <cols>
    <col min="1" max="1" width="18.42578125" style="1" customWidth="1"/>
    <col min="2" max="2" width="25.140625" style="1" customWidth="1"/>
    <col min="3" max="3" width="27.5703125" style="1" customWidth="1"/>
    <col min="4" max="16384" width="11.42578125" style="1"/>
  </cols>
  <sheetData>
    <row r="2" spans="1:4">
      <c r="A2" s="74" t="s">
        <v>166</v>
      </c>
    </row>
    <row r="3" spans="1:4" ht="18.75">
      <c r="B3" s="85" t="s">
        <v>51</v>
      </c>
      <c r="C3" s="84"/>
      <c r="D3"/>
    </row>
    <row r="5" spans="1:4">
      <c r="B5" s="6" t="s">
        <v>52</v>
      </c>
      <c r="C5" s="16"/>
      <c r="D5" s="2"/>
    </row>
    <row r="7" spans="1:4" ht="22.5" customHeight="1">
      <c r="B7" s="255" t="s">
        <v>202</v>
      </c>
      <c r="C7" s="261"/>
    </row>
    <row r="8" spans="1:4" ht="22.5" customHeight="1">
      <c r="B8" s="262"/>
      <c r="C8" s="263"/>
    </row>
    <row r="9" spans="1:4" ht="22.5" customHeight="1">
      <c r="B9" s="262"/>
      <c r="C9" s="263"/>
      <c r="D9" s="2"/>
    </row>
    <row r="10" spans="1:4" ht="22.5" customHeight="1">
      <c r="B10" s="262"/>
      <c r="C10" s="263"/>
    </row>
    <row r="11" spans="1:4" ht="22.5" customHeight="1">
      <c r="B11" s="262"/>
      <c r="C11" s="263"/>
    </row>
    <row r="12" spans="1:4" ht="22.5" customHeight="1">
      <c r="B12" s="262"/>
      <c r="C12" s="263"/>
    </row>
    <row r="13" spans="1:4" ht="22.5" customHeight="1">
      <c r="B13" s="262"/>
      <c r="C13" s="263"/>
    </row>
    <row r="14" spans="1:4" ht="22.5" customHeight="1">
      <c r="B14" s="262"/>
      <c r="C14" s="263"/>
    </row>
    <row r="15" spans="1:4" ht="22.5" customHeight="1">
      <c r="B15" s="264"/>
      <c r="C15" s="265"/>
    </row>
  </sheetData>
  <sheetProtection password="86F2" sheet="1" objects="1" scenarios="1"/>
  <mergeCells count="1">
    <mergeCell ref="B7:C1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Hoja18"/>
  <dimension ref="A2:C32"/>
  <sheetViews>
    <sheetView topLeftCell="A17" zoomScale="80" zoomScaleNormal="80" workbookViewId="0">
      <selection activeCell="C25" sqref="C25"/>
    </sheetView>
  </sheetViews>
  <sheetFormatPr baseColWidth="10" defaultRowHeight="15"/>
  <cols>
    <col min="1" max="1" width="28.28515625" style="1" customWidth="1"/>
    <col min="2" max="2" width="36.42578125" style="1" customWidth="1"/>
    <col min="3" max="3" width="63.42578125" style="1" customWidth="1"/>
    <col min="4" max="16384" width="11.42578125" style="1"/>
  </cols>
  <sheetData>
    <row r="2" spans="1:3">
      <c r="A2" s="74" t="s">
        <v>186</v>
      </c>
    </row>
    <row r="3" spans="1:3" ht="150" customHeight="1">
      <c r="B3" s="13" t="s">
        <v>74</v>
      </c>
      <c r="C3" s="86" t="s">
        <v>222</v>
      </c>
    </row>
    <row r="5" spans="1:3">
      <c r="B5" s="207" t="s">
        <v>78</v>
      </c>
      <c r="C5" s="208"/>
    </row>
    <row r="6" spans="1:3">
      <c r="B6" s="266" t="s">
        <v>185</v>
      </c>
      <c r="C6" s="267"/>
    </row>
    <row r="7" spans="1:3">
      <c r="B7" s="268"/>
      <c r="C7" s="269"/>
    </row>
    <row r="8" spans="1:3" ht="25.5" customHeight="1">
      <c r="B8" s="270"/>
      <c r="C8" s="271"/>
    </row>
    <row r="9" spans="1:3">
      <c r="B9" s="18"/>
      <c r="C9" s="18"/>
    </row>
    <row r="10" spans="1:3">
      <c r="B10" s="207" t="s">
        <v>213</v>
      </c>
      <c r="C10" s="208"/>
    </row>
    <row r="11" spans="1:3">
      <c r="B11" s="266" t="s">
        <v>184</v>
      </c>
      <c r="C11" s="267"/>
    </row>
    <row r="12" spans="1:3">
      <c r="B12" s="268"/>
      <c r="C12" s="269"/>
    </row>
    <row r="13" spans="1:3" ht="29.25" customHeight="1">
      <c r="B13" s="270"/>
      <c r="C13" s="271"/>
    </row>
    <row r="15" spans="1:3">
      <c r="B15" s="207" t="s">
        <v>80</v>
      </c>
      <c r="C15" s="208"/>
    </row>
    <row r="16" spans="1:3">
      <c r="B16" s="266" t="s">
        <v>183</v>
      </c>
      <c r="C16" s="267"/>
    </row>
    <row r="17" spans="2:3">
      <c r="B17" s="268"/>
      <c r="C17" s="269"/>
    </row>
    <row r="18" spans="2:3">
      <c r="B18" s="270"/>
      <c r="C18" s="271"/>
    </row>
    <row r="19" spans="2:3">
      <c r="B19" s="18"/>
      <c r="C19" s="18"/>
    </row>
    <row r="20" spans="2:3">
      <c r="B20" s="228" t="s">
        <v>81</v>
      </c>
      <c r="C20" s="228"/>
    </row>
    <row r="21" spans="2:3">
      <c r="B21" s="266" t="s">
        <v>182</v>
      </c>
      <c r="C21" s="267"/>
    </row>
    <row r="22" spans="2:3">
      <c r="B22" s="268"/>
      <c r="C22" s="269"/>
    </row>
    <row r="23" spans="2:3" ht="25.5" customHeight="1">
      <c r="B23" s="270"/>
      <c r="C23" s="271"/>
    </row>
    <row r="25" spans="2:3" ht="144" customHeight="1">
      <c r="B25" s="19" t="s">
        <v>86</v>
      </c>
      <c r="C25" s="81" t="s">
        <v>203</v>
      </c>
    </row>
    <row r="27" spans="2:3" ht="112.5" customHeight="1">
      <c r="B27" s="19" t="s">
        <v>89</v>
      </c>
      <c r="C27" s="81" t="s">
        <v>223</v>
      </c>
    </row>
    <row r="28" spans="2:3">
      <c r="B28" s="20"/>
      <c r="C28" s="16"/>
    </row>
    <row r="29" spans="2:3">
      <c r="B29" s="200" t="s">
        <v>92</v>
      </c>
      <c r="C29" s="200"/>
    </row>
    <row r="30" spans="2:3" ht="15" customHeight="1">
      <c r="B30" s="266" t="s">
        <v>181</v>
      </c>
      <c r="C30" s="267"/>
    </row>
    <row r="31" spans="2:3">
      <c r="B31" s="268"/>
      <c r="C31" s="269"/>
    </row>
    <row r="32" spans="2:3" ht="25.5" customHeight="1">
      <c r="B32" s="270"/>
      <c r="C32" s="271"/>
    </row>
  </sheetData>
  <sheetProtection password="86F2" sheet="1" objects="1" scenarios="1"/>
  <mergeCells count="10">
    <mergeCell ref="B20:C20"/>
    <mergeCell ref="B21:C23"/>
    <mergeCell ref="B29:C29"/>
    <mergeCell ref="B30:C32"/>
    <mergeCell ref="B5:C5"/>
    <mergeCell ref="B6:C8"/>
    <mergeCell ref="B10:C10"/>
    <mergeCell ref="B11:C13"/>
    <mergeCell ref="B15:C15"/>
    <mergeCell ref="B16:C1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Hoja19"/>
  <dimension ref="A2:S31"/>
  <sheetViews>
    <sheetView zoomScale="80" zoomScaleNormal="80" workbookViewId="0"/>
  </sheetViews>
  <sheetFormatPr baseColWidth="10" defaultRowHeight="15"/>
  <cols>
    <col min="1" max="1" width="21.85546875" style="1" customWidth="1"/>
    <col min="2" max="9" width="11.42578125" style="1"/>
    <col min="10" max="10" width="5.28515625" style="1" customWidth="1"/>
    <col min="11" max="11" width="5.85546875" style="1" customWidth="1"/>
    <col min="12" max="16384" width="11.42578125" style="1"/>
  </cols>
  <sheetData>
    <row r="2" spans="1:19">
      <c r="A2" s="74" t="s">
        <v>186</v>
      </c>
    </row>
    <row r="3" spans="1:19">
      <c r="B3" s="272" t="s">
        <v>190</v>
      </c>
      <c r="C3" s="273"/>
      <c r="D3" s="273"/>
      <c r="E3" s="274"/>
      <c r="L3" s="278" t="s">
        <v>189</v>
      </c>
      <c r="M3" s="279"/>
      <c r="N3" s="279"/>
      <c r="O3" s="280"/>
    </row>
    <row r="4" spans="1:19">
      <c r="B4" s="275"/>
      <c r="C4" s="276"/>
      <c r="D4" s="276"/>
      <c r="E4" s="277"/>
      <c r="L4" s="281"/>
      <c r="M4" s="282"/>
      <c r="N4" s="282"/>
      <c r="O4" s="283"/>
    </row>
    <row r="7" spans="1:19" ht="15" customHeight="1">
      <c r="B7" s="284" t="s">
        <v>188</v>
      </c>
      <c r="C7" s="284"/>
      <c r="D7" s="284"/>
      <c r="E7" s="284"/>
      <c r="F7" s="284"/>
      <c r="G7" s="284"/>
      <c r="H7" s="284"/>
      <c r="I7" s="284"/>
      <c r="L7" s="285" t="s">
        <v>187</v>
      </c>
      <c r="M7" s="286"/>
      <c r="N7" s="286"/>
      <c r="O7" s="286"/>
      <c r="P7" s="286"/>
      <c r="Q7" s="286"/>
      <c r="R7" s="286"/>
      <c r="S7" s="287"/>
    </row>
    <row r="8" spans="1:19">
      <c r="B8" s="284"/>
      <c r="C8" s="284"/>
      <c r="D8" s="284"/>
      <c r="E8" s="284"/>
      <c r="F8" s="284"/>
      <c r="G8" s="284"/>
      <c r="H8" s="284"/>
      <c r="I8" s="284"/>
      <c r="L8" s="288"/>
      <c r="M8" s="289"/>
      <c r="N8" s="289"/>
      <c r="O8" s="289"/>
      <c r="P8" s="289"/>
      <c r="Q8" s="289"/>
      <c r="R8" s="289"/>
      <c r="S8" s="290"/>
    </row>
    <row r="9" spans="1:19">
      <c r="B9" s="284"/>
      <c r="C9" s="284"/>
      <c r="D9" s="284"/>
      <c r="E9" s="284"/>
      <c r="F9" s="284"/>
      <c r="G9" s="284"/>
      <c r="H9" s="284"/>
      <c r="I9" s="284"/>
      <c r="L9" s="288"/>
      <c r="M9" s="289"/>
      <c r="N9" s="289"/>
      <c r="O9" s="289"/>
      <c r="P9" s="289"/>
      <c r="Q9" s="289"/>
      <c r="R9" s="289"/>
      <c r="S9" s="290"/>
    </row>
    <row r="10" spans="1:19">
      <c r="B10" s="284"/>
      <c r="C10" s="284"/>
      <c r="D10" s="284"/>
      <c r="E10" s="284"/>
      <c r="F10" s="284"/>
      <c r="G10" s="284"/>
      <c r="H10" s="284"/>
      <c r="I10" s="284"/>
      <c r="L10" s="288"/>
      <c r="M10" s="289"/>
      <c r="N10" s="289"/>
      <c r="O10" s="289"/>
      <c r="P10" s="289"/>
      <c r="Q10" s="289"/>
      <c r="R10" s="289"/>
      <c r="S10" s="290"/>
    </row>
    <row r="11" spans="1:19">
      <c r="B11" s="284"/>
      <c r="C11" s="284"/>
      <c r="D11" s="284"/>
      <c r="E11" s="284"/>
      <c r="F11" s="284"/>
      <c r="G11" s="284"/>
      <c r="H11" s="284"/>
      <c r="I11" s="284"/>
      <c r="L11" s="288"/>
      <c r="M11" s="289"/>
      <c r="N11" s="289"/>
      <c r="O11" s="289"/>
      <c r="P11" s="289"/>
      <c r="Q11" s="289"/>
      <c r="R11" s="289"/>
      <c r="S11" s="290"/>
    </row>
    <row r="12" spans="1:19">
      <c r="B12" s="284"/>
      <c r="C12" s="284"/>
      <c r="D12" s="284"/>
      <c r="E12" s="284"/>
      <c r="F12" s="284"/>
      <c r="G12" s="284"/>
      <c r="H12" s="284"/>
      <c r="I12" s="284"/>
      <c r="L12" s="288"/>
      <c r="M12" s="289"/>
      <c r="N12" s="289"/>
      <c r="O12" s="289"/>
      <c r="P12" s="289"/>
      <c r="Q12" s="289"/>
      <c r="R12" s="289"/>
      <c r="S12" s="290"/>
    </row>
    <row r="13" spans="1:19">
      <c r="B13" s="284"/>
      <c r="C13" s="284"/>
      <c r="D13" s="284"/>
      <c r="E13" s="284"/>
      <c r="F13" s="284"/>
      <c r="G13" s="284"/>
      <c r="H13" s="284"/>
      <c r="I13" s="284"/>
      <c r="L13" s="288"/>
      <c r="M13" s="289"/>
      <c r="N13" s="289"/>
      <c r="O13" s="289"/>
      <c r="P13" s="289"/>
      <c r="Q13" s="289"/>
      <c r="R13" s="289"/>
      <c r="S13" s="290"/>
    </row>
    <row r="14" spans="1:19">
      <c r="B14" s="284"/>
      <c r="C14" s="284"/>
      <c r="D14" s="284"/>
      <c r="E14" s="284"/>
      <c r="F14" s="284"/>
      <c r="G14" s="284"/>
      <c r="H14" s="284"/>
      <c r="I14" s="284"/>
      <c r="L14" s="288"/>
      <c r="M14" s="289"/>
      <c r="N14" s="289"/>
      <c r="O14" s="289"/>
      <c r="P14" s="289"/>
      <c r="Q14" s="289"/>
      <c r="R14" s="289"/>
      <c r="S14" s="290"/>
    </row>
    <row r="15" spans="1:19">
      <c r="B15" s="284"/>
      <c r="C15" s="284"/>
      <c r="D15" s="284"/>
      <c r="E15" s="284"/>
      <c r="F15" s="284"/>
      <c r="G15" s="284"/>
      <c r="H15" s="284"/>
      <c r="I15" s="284"/>
      <c r="L15" s="288"/>
      <c r="M15" s="289"/>
      <c r="N15" s="289"/>
      <c r="O15" s="289"/>
      <c r="P15" s="289"/>
      <c r="Q15" s="289"/>
      <c r="R15" s="289"/>
      <c r="S15" s="290"/>
    </row>
    <row r="16" spans="1:19">
      <c r="B16" s="284"/>
      <c r="C16" s="284"/>
      <c r="D16" s="284"/>
      <c r="E16" s="284"/>
      <c r="F16" s="284"/>
      <c r="G16" s="284"/>
      <c r="H16" s="284"/>
      <c r="I16" s="284"/>
      <c r="L16" s="288"/>
      <c r="M16" s="289"/>
      <c r="N16" s="289"/>
      <c r="O16" s="289"/>
      <c r="P16" s="289"/>
      <c r="Q16" s="289"/>
      <c r="R16" s="289"/>
      <c r="S16" s="290"/>
    </row>
    <row r="17" spans="2:19">
      <c r="B17" s="284"/>
      <c r="C17" s="284"/>
      <c r="D17" s="284"/>
      <c r="E17" s="284"/>
      <c r="F17" s="284"/>
      <c r="G17" s="284"/>
      <c r="H17" s="284"/>
      <c r="I17" s="284"/>
      <c r="L17" s="288"/>
      <c r="M17" s="289"/>
      <c r="N17" s="289"/>
      <c r="O17" s="289"/>
      <c r="P17" s="289"/>
      <c r="Q17" s="289"/>
      <c r="R17" s="289"/>
      <c r="S17" s="290"/>
    </row>
    <row r="18" spans="2:19">
      <c r="B18" s="284"/>
      <c r="C18" s="284"/>
      <c r="D18" s="284"/>
      <c r="E18" s="284"/>
      <c r="F18" s="284"/>
      <c r="G18" s="284"/>
      <c r="H18" s="284"/>
      <c r="I18" s="284"/>
      <c r="L18" s="288"/>
      <c r="M18" s="289"/>
      <c r="N18" s="289"/>
      <c r="O18" s="289"/>
      <c r="P18" s="289"/>
      <c r="Q18" s="289"/>
      <c r="R18" s="289"/>
      <c r="S18" s="290"/>
    </row>
    <row r="19" spans="2:19">
      <c r="B19" s="284"/>
      <c r="C19" s="284"/>
      <c r="D19" s="284"/>
      <c r="E19" s="284"/>
      <c r="F19" s="284"/>
      <c r="G19" s="284"/>
      <c r="H19" s="284"/>
      <c r="I19" s="284"/>
      <c r="L19" s="288"/>
      <c r="M19" s="289"/>
      <c r="N19" s="289"/>
      <c r="O19" s="289"/>
      <c r="P19" s="289"/>
      <c r="Q19" s="289"/>
      <c r="R19" s="289"/>
      <c r="S19" s="290"/>
    </row>
    <row r="20" spans="2:19">
      <c r="B20" s="284"/>
      <c r="C20" s="284"/>
      <c r="D20" s="284"/>
      <c r="E20" s="284"/>
      <c r="F20" s="284"/>
      <c r="G20" s="284"/>
      <c r="H20" s="284"/>
      <c r="I20" s="284"/>
      <c r="L20" s="288"/>
      <c r="M20" s="289"/>
      <c r="N20" s="289"/>
      <c r="O20" s="289"/>
      <c r="P20" s="289"/>
      <c r="Q20" s="289"/>
      <c r="R20" s="289"/>
      <c r="S20" s="290"/>
    </row>
    <row r="21" spans="2:19">
      <c r="B21" s="284"/>
      <c r="C21" s="284"/>
      <c r="D21" s="284"/>
      <c r="E21" s="284"/>
      <c r="F21" s="284"/>
      <c r="G21" s="284"/>
      <c r="H21" s="284"/>
      <c r="I21" s="284"/>
      <c r="L21" s="288"/>
      <c r="M21" s="289"/>
      <c r="N21" s="289"/>
      <c r="O21" s="289"/>
      <c r="P21" s="289"/>
      <c r="Q21" s="289"/>
      <c r="R21" s="289"/>
      <c r="S21" s="290"/>
    </row>
    <row r="22" spans="2:19">
      <c r="B22" s="284"/>
      <c r="C22" s="284"/>
      <c r="D22" s="284"/>
      <c r="E22" s="284"/>
      <c r="F22" s="284"/>
      <c r="G22" s="284"/>
      <c r="H22" s="284"/>
      <c r="I22" s="284"/>
      <c r="L22" s="288"/>
      <c r="M22" s="289"/>
      <c r="N22" s="289"/>
      <c r="O22" s="289"/>
      <c r="P22" s="289"/>
      <c r="Q22" s="289"/>
      <c r="R22" s="289"/>
      <c r="S22" s="290"/>
    </row>
    <row r="23" spans="2:19">
      <c r="B23" s="284"/>
      <c r="C23" s="284"/>
      <c r="D23" s="284"/>
      <c r="E23" s="284"/>
      <c r="F23" s="284"/>
      <c r="G23" s="284"/>
      <c r="H23" s="284"/>
      <c r="I23" s="284"/>
      <c r="L23" s="288"/>
      <c r="M23" s="289"/>
      <c r="N23" s="289"/>
      <c r="O23" s="289"/>
      <c r="P23" s="289"/>
      <c r="Q23" s="289"/>
      <c r="R23" s="289"/>
      <c r="S23" s="290"/>
    </row>
    <row r="24" spans="2:19">
      <c r="B24" s="284"/>
      <c r="C24" s="284"/>
      <c r="D24" s="284"/>
      <c r="E24" s="284"/>
      <c r="F24" s="284"/>
      <c r="G24" s="284"/>
      <c r="H24" s="284"/>
      <c r="I24" s="284"/>
      <c r="L24" s="288"/>
      <c r="M24" s="289"/>
      <c r="N24" s="289"/>
      <c r="O24" s="289"/>
      <c r="P24" s="289"/>
      <c r="Q24" s="289"/>
      <c r="R24" s="289"/>
      <c r="S24" s="290"/>
    </row>
    <row r="25" spans="2:19">
      <c r="B25" s="284"/>
      <c r="C25" s="284"/>
      <c r="D25" s="284"/>
      <c r="E25" s="284"/>
      <c r="F25" s="284"/>
      <c r="G25" s="284"/>
      <c r="H25" s="284"/>
      <c r="I25" s="284"/>
      <c r="L25" s="288"/>
      <c r="M25" s="289"/>
      <c r="N25" s="289"/>
      <c r="O25" s="289"/>
      <c r="P25" s="289"/>
      <c r="Q25" s="289"/>
      <c r="R25" s="289"/>
      <c r="S25" s="290"/>
    </row>
    <row r="26" spans="2:19">
      <c r="B26" s="284"/>
      <c r="C26" s="284"/>
      <c r="D26" s="284"/>
      <c r="E26" s="284"/>
      <c r="F26" s="284"/>
      <c r="G26" s="284"/>
      <c r="H26" s="284"/>
      <c r="I26" s="284"/>
      <c r="L26" s="288"/>
      <c r="M26" s="289"/>
      <c r="N26" s="289"/>
      <c r="O26" s="289"/>
      <c r="P26" s="289"/>
      <c r="Q26" s="289"/>
      <c r="R26" s="289"/>
      <c r="S26" s="290"/>
    </row>
    <row r="27" spans="2:19">
      <c r="B27" s="284"/>
      <c r="C27" s="284"/>
      <c r="D27" s="284"/>
      <c r="E27" s="284"/>
      <c r="F27" s="284"/>
      <c r="G27" s="284"/>
      <c r="H27" s="284"/>
      <c r="I27" s="284"/>
      <c r="L27" s="288"/>
      <c r="M27" s="289"/>
      <c r="N27" s="289"/>
      <c r="O27" s="289"/>
      <c r="P27" s="289"/>
      <c r="Q27" s="289"/>
      <c r="R27" s="289"/>
      <c r="S27" s="290"/>
    </row>
    <row r="28" spans="2:19">
      <c r="B28" s="284"/>
      <c r="C28" s="284"/>
      <c r="D28" s="284"/>
      <c r="E28" s="284"/>
      <c r="F28" s="284"/>
      <c r="G28" s="284"/>
      <c r="H28" s="284"/>
      <c r="I28" s="284"/>
      <c r="L28" s="288"/>
      <c r="M28" s="289"/>
      <c r="N28" s="289"/>
      <c r="O28" s="289"/>
      <c r="P28" s="289"/>
      <c r="Q28" s="289"/>
      <c r="R28" s="289"/>
      <c r="S28" s="290"/>
    </row>
    <row r="29" spans="2:19">
      <c r="B29" s="284"/>
      <c r="C29" s="284"/>
      <c r="D29" s="284"/>
      <c r="E29" s="284"/>
      <c r="F29" s="284"/>
      <c r="G29" s="284"/>
      <c r="H29" s="284"/>
      <c r="I29" s="284"/>
      <c r="L29" s="291"/>
      <c r="M29" s="292"/>
      <c r="N29" s="292"/>
      <c r="O29" s="292"/>
      <c r="P29" s="292"/>
      <c r="Q29" s="292"/>
      <c r="R29" s="292"/>
      <c r="S29" s="293"/>
    </row>
    <row r="30" spans="2:19">
      <c r="B30" s="284"/>
      <c r="C30" s="284"/>
      <c r="D30" s="284"/>
      <c r="E30" s="284"/>
      <c r="F30" s="284"/>
      <c r="G30" s="284"/>
      <c r="H30" s="284"/>
      <c r="I30" s="284"/>
    </row>
    <row r="31" spans="2:19">
      <c r="B31" s="284"/>
      <c r="C31" s="284"/>
      <c r="D31" s="284"/>
      <c r="E31" s="284"/>
      <c r="F31" s="284"/>
      <c r="G31" s="284"/>
      <c r="H31" s="284"/>
      <c r="I31" s="284"/>
    </row>
  </sheetData>
  <sheetProtection password="86F2" sheet="1" objects="1" scenarios="1"/>
  <mergeCells count="4">
    <mergeCell ref="B3:E4"/>
    <mergeCell ref="L3:O4"/>
    <mergeCell ref="B7:I31"/>
    <mergeCell ref="L7:S29"/>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sheetPr codeName="Hoja20"/>
  <dimension ref="A1:AW35"/>
  <sheetViews>
    <sheetView zoomScale="80" zoomScaleNormal="80" workbookViewId="0">
      <selection activeCell="D19" sqref="D19"/>
    </sheetView>
  </sheetViews>
  <sheetFormatPr baseColWidth="10" defaultRowHeight="15"/>
  <cols>
    <col min="1" max="1" width="17.7109375" style="87" customWidth="1"/>
    <col min="2" max="2" width="24.28515625" style="87" customWidth="1"/>
    <col min="3" max="3" width="23.42578125" style="87" customWidth="1"/>
    <col min="4" max="4" width="21.85546875" style="87" customWidth="1"/>
    <col min="5" max="5" width="21" style="87" customWidth="1"/>
    <col min="6" max="6" width="30" style="87" customWidth="1"/>
    <col min="7" max="7" width="35.5703125" style="87" customWidth="1"/>
    <col min="8" max="8" width="11.7109375" style="87" bestFit="1" customWidth="1"/>
    <col min="9" max="16384" width="11.42578125" style="87"/>
  </cols>
  <sheetData>
    <row r="1" spans="1:49" s="1" customFormat="1">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row>
    <row r="2" spans="1:49" s="1" customFormat="1">
      <c r="A2" s="74" t="s">
        <v>186</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row>
    <row r="4" spans="1:49" ht="76.5" customHeight="1"/>
    <row r="5" spans="1:49" ht="30">
      <c r="D5" s="23"/>
      <c r="E5" s="24" t="s">
        <v>96</v>
      </c>
      <c r="F5" s="24" t="s">
        <v>97</v>
      </c>
      <c r="G5" s="25" t="s">
        <v>98</v>
      </c>
    </row>
    <row r="6" spans="1:49">
      <c r="D6" s="27" t="s">
        <v>99</v>
      </c>
      <c r="E6" s="28">
        <f>F6+G6</f>
        <v>65000</v>
      </c>
      <c r="F6" s="29">
        <v>50000</v>
      </c>
      <c r="G6" s="30">
        <v>15000</v>
      </c>
      <c r="H6" s="95">
        <f>G6/100*25</f>
        <v>3750</v>
      </c>
    </row>
    <row r="7" spans="1:49">
      <c r="D7" s="32" t="s">
        <v>100</v>
      </c>
      <c r="E7" s="33">
        <f>(E6/E6)*1</f>
        <v>1</v>
      </c>
      <c r="F7" s="34">
        <f>F6/E6</f>
        <v>0.76923076923076927</v>
      </c>
      <c r="G7" s="35">
        <f>E7-F7</f>
        <v>0.23076923076923073</v>
      </c>
    </row>
    <row r="8" spans="1:49">
      <c r="B8" s="23"/>
      <c r="C8" s="23"/>
      <c r="D8" s="23"/>
    </row>
    <row r="9" spans="1:49" ht="15" customHeight="1">
      <c r="A9" s="249" t="s">
        <v>226</v>
      </c>
      <c r="B9" s="297"/>
      <c r="C9" s="298"/>
      <c r="D9" s="23"/>
    </row>
    <row r="10" spans="1:49">
      <c r="A10" s="251"/>
      <c r="B10" s="299"/>
      <c r="C10" s="300"/>
      <c r="D10" s="23"/>
    </row>
    <row r="11" spans="1:49">
      <c r="A11" s="251"/>
      <c r="B11" s="299"/>
      <c r="C11" s="300"/>
    </row>
    <row r="12" spans="1:49">
      <c r="A12" s="251"/>
      <c r="B12" s="299"/>
      <c r="C12" s="300"/>
    </row>
    <row r="13" spans="1:49">
      <c r="A13" s="251"/>
      <c r="B13" s="299"/>
      <c r="C13" s="300"/>
    </row>
    <row r="14" spans="1:49">
      <c r="A14" s="251"/>
      <c r="B14" s="299"/>
      <c r="C14" s="300"/>
    </row>
    <row r="15" spans="1:49" ht="15" customHeight="1">
      <c r="A15" s="251"/>
      <c r="B15" s="299"/>
      <c r="C15" s="300"/>
      <c r="E15" s="294" t="s">
        <v>227</v>
      </c>
      <c r="F15" s="295"/>
      <c r="G15" s="296"/>
    </row>
    <row r="16" spans="1:49">
      <c r="A16" s="251"/>
      <c r="B16" s="299"/>
      <c r="C16" s="300"/>
      <c r="E16" s="36" t="s">
        <v>101</v>
      </c>
      <c r="F16" s="36" t="s">
        <v>102</v>
      </c>
      <c r="G16" s="37" t="s">
        <v>103</v>
      </c>
    </row>
    <row r="17" spans="1:7">
      <c r="A17" s="251"/>
      <c r="B17" s="299"/>
      <c r="C17" s="300"/>
      <c r="E17" s="36" t="s">
        <v>224</v>
      </c>
      <c r="F17" s="38">
        <v>3750</v>
      </c>
      <c r="G17" s="39">
        <f>$F17/$G$6</f>
        <v>0.25</v>
      </c>
    </row>
    <row r="18" spans="1:7">
      <c r="A18" s="251"/>
      <c r="B18" s="299"/>
      <c r="C18" s="300"/>
      <c r="E18" s="36" t="s">
        <v>104</v>
      </c>
      <c r="F18" s="38">
        <v>250</v>
      </c>
      <c r="G18" s="39">
        <f>$F18/$G$6</f>
        <v>1.6666666666666666E-2</v>
      </c>
    </row>
    <row r="19" spans="1:7">
      <c r="A19" s="251"/>
      <c r="B19" s="299"/>
      <c r="C19" s="300"/>
      <c r="E19" s="36" t="s">
        <v>105</v>
      </c>
      <c r="F19" s="38">
        <v>11000</v>
      </c>
      <c r="G19" s="39">
        <f>$F19/$G$6</f>
        <v>0.73333333333333328</v>
      </c>
    </row>
    <row r="20" spans="1:7">
      <c r="A20" s="251"/>
      <c r="B20" s="299"/>
      <c r="C20" s="300"/>
      <c r="E20" s="36" t="s">
        <v>102</v>
      </c>
      <c r="F20" s="40">
        <f>SUM(F17:F19)</f>
        <v>15000</v>
      </c>
      <c r="G20" s="33">
        <f>$F20/$G$6</f>
        <v>1</v>
      </c>
    </row>
    <row r="21" spans="1:7">
      <c r="A21" s="251"/>
      <c r="B21" s="299"/>
      <c r="C21" s="300"/>
    </row>
    <row r="22" spans="1:7">
      <c r="A22" s="251"/>
      <c r="B22" s="299"/>
      <c r="C22" s="300"/>
    </row>
    <row r="23" spans="1:7" ht="15" customHeight="1">
      <c r="A23" s="251"/>
      <c r="B23" s="299"/>
      <c r="C23" s="300"/>
    </row>
    <row r="24" spans="1:7">
      <c r="A24" s="251"/>
      <c r="B24" s="299"/>
      <c r="C24" s="300"/>
    </row>
    <row r="25" spans="1:7">
      <c r="A25" s="251"/>
      <c r="B25" s="299"/>
      <c r="C25" s="300"/>
    </row>
    <row r="26" spans="1:7">
      <c r="A26" s="251"/>
      <c r="B26" s="299"/>
      <c r="C26" s="300"/>
    </row>
    <row r="27" spans="1:7">
      <c r="A27" s="251"/>
      <c r="B27" s="299"/>
      <c r="C27" s="300"/>
    </row>
    <row r="28" spans="1:7">
      <c r="A28" s="251"/>
      <c r="B28" s="299"/>
      <c r="C28" s="300"/>
    </row>
    <row r="29" spans="1:7">
      <c r="A29" s="251"/>
      <c r="B29" s="299"/>
      <c r="C29" s="300"/>
    </row>
    <row r="30" spans="1:7">
      <c r="A30" s="251"/>
      <c r="B30" s="299"/>
      <c r="C30" s="300"/>
    </row>
    <row r="31" spans="1:7">
      <c r="A31" s="251"/>
      <c r="B31" s="299"/>
      <c r="C31" s="300"/>
    </row>
    <row r="32" spans="1:7">
      <c r="A32" s="251"/>
      <c r="B32" s="299"/>
      <c r="C32" s="300"/>
    </row>
    <row r="33" spans="1:3">
      <c r="A33" s="251"/>
      <c r="B33" s="299"/>
      <c r="C33" s="300"/>
    </row>
    <row r="34" spans="1:3">
      <c r="A34" s="251"/>
      <c r="B34" s="299"/>
      <c r="C34" s="300"/>
    </row>
    <row r="35" spans="1:3">
      <c r="A35" s="301"/>
      <c r="B35" s="302"/>
      <c r="C35" s="303"/>
    </row>
  </sheetData>
  <sheetProtection password="86F2" sheet="1" objects="1" scenarios="1"/>
  <mergeCells count="2">
    <mergeCell ref="E15:G15"/>
    <mergeCell ref="A9:C35"/>
  </mergeCells>
  <conditionalFormatting sqref="F20">
    <cfRule type="cellIs" dxfId="24" priority="8" operator="equal">
      <formula>$G$6</formula>
    </cfRule>
    <cfRule type="cellIs" dxfId="23" priority="9" stopIfTrue="1" operator="notEqual">
      <formula>$G$6</formula>
    </cfRule>
  </conditionalFormatting>
  <conditionalFormatting sqref="F17">
    <cfRule type="cellIs" dxfId="22" priority="6" operator="greaterThanOrEqual">
      <formula>$H$6</formula>
    </cfRule>
    <cfRule type="cellIs" dxfId="21" priority="7" operator="lessThan">
      <formula>$H$6</formula>
    </cfRule>
  </conditionalFormatting>
  <conditionalFormatting sqref="G7">
    <cfRule type="cellIs" dxfId="20" priority="5" operator="lessThan">
      <formula>0.2</formula>
    </cfRule>
  </conditionalFormatting>
  <conditionalFormatting sqref="G17">
    <cfRule type="cellIs" dxfId="19" priority="3" stopIfTrue="1" operator="lessThan">
      <formula>0.25</formula>
    </cfRule>
    <cfRule type="cellIs" dxfId="18" priority="4" stopIfTrue="1" operator="greaterThanOrEqual">
      <formula>0.25</formula>
    </cfRule>
  </conditionalFormatting>
  <conditionalFormatting sqref="G20">
    <cfRule type="cellIs" dxfId="17" priority="1" stopIfTrue="1" operator="notEqual">
      <formula>1</formula>
    </cfRule>
    <cfRule type="cellIs" dxfId="16" priority="2" stopIfTrue="1" operator="equal">
      <formula>1</formula>
    </cfRule>
  </conditionalFormatting>
  <dataValidations count="3">
    <dataValidation operator="equal" allowBlank="1" showInputMessage="1" showErrorMessage="1" sqref="F20 JB20 SX20 ACT20 AMP20 AWL20 BGH20 BQD20 BZZ20 CJV20 CTR20 DDN20 DNJ20 DXF20 EHB20 EQX20 FAT20 FKP20 FUL20 GEH20 GOD20 GXZ20 HHV20 HRR20 IBN20 ILJ20 IVF20 JFB20 JOX20 JYT20 KIP20 KSL20 LCH20 LMD20 LVZ20 MFV20 MPR20 MZN20 NJJ20 NTF20 ODB20 OMX20 OWT20 PGP20 PQL20 QAH20 QKD20 QTZ20 RDV20 RNR20 RXN20 SHJ20 SRF20 TBB20 TKX20 TUT20 UEP20 UOL20 UYH20 VID20 VRZ20 WBV20 WLR20 WVN20 F65556 JB65556 SX65556 ACT65556 AMP65556 AWL65556 BGH65556 BQD65556 BZZ65556 CJV65556 CTR65556 DDN65556 DNJ65556 DXF65556 EHB65556 EQX65556 FAT65556 FKP65556 FUL65556 GEH65556 GOD65556 GXZ65556 HHV65556 HRR65556 IBN65556 ILJ65556 IVF65556 JFB65556 JOX65556 JYT65556 KIP65556 KSL65556 LCH65556 LMD65556 LVZ65556 MFV65556 MPR65556 MZN65556 NJJ65556 NTF65556 ODB65556 OMX65556 OWT65556 PGP65556 PQL65556 QAH65556 QKD65556 QTZ65556 RDV65556 RNR65556 RXN65556 SHJ65556 SRF65556 TBB65556 TKX65556 TUT65556 UEP65556 UOL65556 UYH65556 VID65556 VRZ65556 WBV65556 WLR65556 WVN65556 F131092 JB131092 SX131092 ACT131092 AMP131092 AWL131092 BGH131092 BQD131092 BZZ131092 CJV131092 CTR131092 DDN131092 DNJ131092 DXF131092 EHB131092 EQX131092 FAT131092 FKP131092 FUL131092 GEH131092 GOD131092 GXZ131092 HHV131092 HRR131092 IBN131092 ILJ131092 IVF131092 JFB131092 JOX131092 JYT131092 KIP131092 KSL131092 LCH131092 LMD131092 LVZ131092 MFV131092 MPR131092 MZN131092 NJJ131092 NTF131092 ODB131092 OMX131092 OWT131092 PGP131092 PQL131092 QAH131092 QKD131092 QTZ131092 RDV131092 RNR131092 RXN131092 SHJ131092 SRF131092 TBB131092 TKX131092 TUT131092 UEP131092 UOL131092 UYH131092 VID131092 VRZ131092 WBV131092 WLR131092 WVN131092 F196628 JB196628 SX196628 ACT196628 AMP196628 AWL196628 BGH196628 BQD196628 BZZ196628 CJV196628 CTR196628 DDN196628 DNJ196628 DXF196628 EHB196628 EQX196628 FAT196628 FKP196628 FUL196628 GEH196628 GOD196628 GXZ196628 HHV196628 HRR196628 IBN196628 ILJ196628 IVF196628 JFB196628 JOX196628 JYT196628 KIP196628 KSL196628 LCH196628 LMD196628 LVZ196628 MFV196628 MPR196628 MZN196628 NJJ196628 NTF196628 ODB196628 OMX196628 OWT196628 PGP196628 PQL196628 QAH196628 QKD196628 QTZ196628 RDV196628 RNR196628 RXN196628 SHJ196628 SRF196628 TBB196628 TKX196628 TUT196628 UEP196628 UOL196628 UYH196628 VID196628 VRZ196628 WBV196628 WLR196628 WVN196628 F262164 JB262164 SX262164 ACT262164 AMP262164 AWL262164 BGH262164 BQD262164 BZZ262164 CJV262164 CTR262164 DDN262164 DNJ262164 DXF262164 EHB262164 EQX262164 FAT262164 FKP262164 FUL262164 GEH262164 GOD262164 GXZ262164 HHV262164 HRR262164 IBN262164 ILJ262164 IVF262164 JFB262164 JOX262164 JYT262164 KIP262164 KSL262164 LCH262164 LMD262164 LVZ262164 MFV262164 MPR262164 MZN262164 NJJ262164 NTF262164 ODB262164 OMX262164 OWT262164 PGP262164 PQL262164 QAH262164 QKD262164 QTZ262164 RDV262164 RNR262164 RXN262164 SHJ262164 SRF262164 TBB262164 TKX262164 TUT262164 UEP262164 UOL262164 UYH262164 VID262164 VRZ262164 WBV262164 WLR262164 WVN262164 F327700 JB327700 SX327700 ACT327700 AMP327700 AWL327700 BGH327700 BQD327700 BZZ327700 CJV327700 CTR327700 DDN327700 DNJ327700 DXF327700 EHB327700 EQX327700 FAT327700 FKP327700 FUL327700 GEH327700 GOD327700 GXZ327700 HHV327700 HRR327700 IBN327700 ILJ327700 IVF327700 JFB327700 JOX327700 JYT327700 KIP327700 KSL327700 LCH327700 LMD327700 LVZ327700 MFV327700 MPR327700 MZN327700 NJJ327700 NTF327700 ODB327700 OMX327700 OWT327700 PGP327700 PQL327700 QAH327700 QKD327700 QTZ327700 RDV327700 RNR327700 RXN327700 SHJ327700 SRF327700 TBB327700 TKX327700 TUT327700 UEP327700 UOL327700 UYH327700 VID327700 VRZ327700 WBV327700 WLR327700 WVN327700 F393236 JB393236 SX393236 ACT393236 AMP393236 AWL393236 BGH393236 BQD393236 BZZ393236 CJV393236 CTR393236 DDN393236 DNJ393236 DXF393236 EHB393236 EQX393236 FAT393236 FKP393236 FUL393236 GEH393236 GOD393236 GXZ393236 HHV393236 HRR393236 IBN393236 ILJ393236 IVF393236 JFB393236 JOX393236 JYT393236 KIP393236 KSL393236 LCH393236 LMD393236 LVZ393236 MFV393236 MPR393236 MZN393236 NJJ393236 NTF393236 ODB393236 OMX393236 OWT393236 PGP393236 PQL393236 QAH393236 QKD393236 QTZ393236 RDV393236 RNR393236 RXN393236 SHJ393236 SRF393236 TBB393236 TKX393236 TUT393236 UEP393236 UOL393236 UYH393236 VID393236 VRZ393236 WBV393236 WLR393236 WVN393236 F458772 JB458772 SX458772 ACT458772 AMP458772 AWL458772 BGH458772 BQD458772 BZZ458772 CJV458772 CTR458772 DDN458772 DNJ458772 DXF458772 EHB458772 EQX458772 FAT458772 FKP458772 FUL458772 GEH458772 GOD458772 GXZ458772 HHV458772 HRR458772 IBN458772 ILJ458772 IVF458772 JFB458772 JOX458772 JYT458772 KIP458772 KSL458772 LCH458772 LMD458772 LVZ458772 MFV458772 MPR458772 MZN458772 NJJ458772 NTF458772 ODB458772 OMX458772 OWT458772 PGP458772 PQL458772 QAH458772 QKD458772 QTZ458772 RDV458772 RNR458772 RXN458772 SHJ458772 SRF458772 TBB458772 TKX458772 TUT458772 UEP458772 UOL458772 UYH458772 VID458772 VRZ458772 WBV458772 WLR458772 WVN458772 F524308 JB524308 SX524308 ACT524308 AMP524308 AWL524308 BGH524308 BQD524308 BZZ524308 CJV524308 CTR524308 DDN524308 DNJ524308 DXF524308 EHB524308 EQX524308 FAT524308 FKP524308 FUL524308 GEH524308 GOD524308 GXZ524308 HHV524308 HRR524308 IBN524308 ILJ524308 IVF524308 JFB524308 JOX524308 JYT524308 KIP524308 KSL524308 LCH524308 LMD524308 LVZ524308 MFV524308 MPR524308 MZN524308 NJJ524308 NTF524308 ODB524308 OMX524308 OWT524308 PGP524308 PQL524308 QAH524308 QKD524308 QTZ524308 RDV524308 RNR524308 RXN524308 SHJ524308 SRF524308 TBB524308 TKX524308 TUT524308 UEP524308 UOL524308 UYH524308 VID524308 VRZ524308 WBV524308 WLR524308 WVN524308 F589844 JB589844 SX589844 ACT589844 AMP589844 AWL589844 BGH589844 BQD589844 BZZ589844 CJV589844 CTR589844 DDN589844 DNJ589844 DXF589844 EHB589844 EQX589844 FAT589844 FKP589844 FUL589844 GEH589844 GOD589844 GXZ589844 HHV589844 HRR589844 IBN589844 ILJ589844 IVF589844 JFB589844 JOX589844 JYT589844 KIP589844 KSL589844 LCH589844 LMD589844 LVZ589844 MFV589844 MPR589844 MZN589844 NJJ589844 NTF589844 ODB589844 OMX589844 OWT589844 PGP589844 PQL589844 QAH589844 QKD589844 QTZ589844 RDV589844 RNR589844 RXN589844 SHJ589844 SRF589844 TBB589844 TKX589844 TUT589844 UEP589844 UOL589844 UYH589844 VID589844 VRZ589844 WBV589844 WLR589844 WVN589844 F655380 JB655380 SX655380 ACT655380 AMP655380 AWL655380 BGH655380 BQD655380 BZZ655380 CJV655380 CTR655380 DDN655380 DNJ655380 DXF655380 EHB655380 EQX655380 FAT655380 FKP655380 FUL655380 GEH655380 GOD655380 GXZ655380 HHV655380 HRR655380 IBN655380 ILJ655380 IVF655380 JFB655380 JOX655380 JYT655380 KIP655380 KSL655380 LCH655380 LMD655380 LVZ655380 MFV655380 MPR655380 MZN655380 NJJ655380 NTF655380 ODB655380 OMX655380 OWT655380 PGP655380 PQL655380 QAH655380 QKD655380 QTZ655380 RDV655380 RNR655380 RXN655380 SHJ655380 SRF655380 TBB655380 TKX655380 TUT655380 UEP655380 UOL655380 UYH655380 VID655380 VRZ655380 WBV655380 WLR655380 WVN655380 F720916 JB720916 SX720916 ACT720916 AMP720916 AWL720916 BGH720916 BQD720916 BZZ720916 CJV720916 CTR720916 DDN720916 DNJ720916 DXF720916 EHB720916 EQX720916 FAT720916 FKP720916 FUL720916 GEH720916 GOD720916 GXZ720916 HHV720916 HRR720916 IBN720916 ILJ720916 IVF720916 JFB720916 JOX720916 JYT720916 KIP720916 KSL720916 LCH720916 LMD720916 LVZ720916 MFV720916 MPR720916 MZN720916 NJJ720916 NTF720916 ODB720916 OMX720916 OWT720916 PGP720916 PQL720916 QAH720916 QKD720916 QTZ720916 RDV720916 RNR720916 RXN720916 SHJ720916 SRF720916 TBB720916 TKX720916 TUT720916 UEP720916 UOL720916 UYH720916 VID720916 VRZ720916 WBV720916 WLR720916 WVN720916 F786452 JB786452 SX786452 ACT786452 AMP786452 AWL786452 BGH786452 BQD786452 BZZ786452 CJV786452 CTR786452 DDN786452 DNJ786452 DXF786452 EHB786452 EQX786452 FAT786452 FKP786452 FUL786452 GEH786452 GOD786452 GXZ786452 HHV786452 HRR786452 IBN786452 ILJ786452 IVF786452 JFB786452 JOX786452 JYT786452 KIP786452 KSL786452 LCH786452 LMD786452 LVZ786452 MFV786452 MPR786452 MZN786452 NJJ786452 NTF786452 ODB786452 OMX786452 OWT786452 PGP786452 PQL786452 QAH786452 QKD786452 QTZ786452 RDV786452 RNR786452 RXN786452 SHJ786452 SRF786452 TBB786452 TKX786452 TUT786452 UEP786452 UOL786452 UYH786452 VID786452 VRZ786452 WBV786452 WLR786452 WVN786452 F851988 JB851988 SX851988 ACT851988 AMP851988 AWL851988 BGH851988 BQD851988 BZZ851988 CJV851988 CTR851988 DDN851988 DNJ851988 DXF851988 EHB851988 EQX851988 FAT851988 FKP851988 FUL851988 GEH851988 GOD851988 GXZ851988 HHV851988 HRR851988 IBN851988 ILJ851988 IVF851988 JFB851988 JOX851988 JYT851988 KIP851988 KSL851988 LCH851988 LMD851988 LVZ851988 MFV851988 MPR851988 MZN851988 NJJ851988 NTF851988 ODB851988 OMX851988 OWT851988 PGP851988 PQL851988 QAH851988 QKD851988 QTZ851988 RDV851988 RNR851988 RXN851988 SHJ851988 SRF851988 TBB851988 TKX851988 TUT851988 UEP851988 UOL851988 UYH851988 VID851988 VRZ851988 WBV851988 WLR851988 WVN851988 F917524 JB917524 SX917524 ACT917524 AMP917524 AWL917524 BGH917524 BQD917524 BZZ917524 CJV917524 CTR917524 DDN917524 DNJ917524 DXF917524 EHB917524 EQX917524 FAT917524 FKP917524 FUL917524 GEH917524 GOD917524 GXZ917524 HHV917524 HRR917524 IBN917524 ILJ917524 IVF917524 JFB917524 JOX917524 JYT917524 KIP917524 KSL917524 LCH917524 LMD917524 LVZ917524 MFV917524 MPR917524 MZN917524 NJJ917524 NTF917524 ODB917524 OMX917524 OWT917524 PGP917524 PQL917524 QAH917524 QKD917524 QTZ917524 RDV917524 RNR917524 RXN917524 SHJ917524 SRF917524 TBB917524 TKX917524 TUT917524 UEP917524 UOL917524 UYH917524 VID917524 VRZ917524 WBV917524 WLR917524 WVN917524 F983060 JB983060 SX983060 ACT983060 AMP983060 AWL983060 BGH983060 BQD983060 BZZ983060 CJV983060 CTR983060 DDN983060 DNJ983060 DXF983060 EHB983060 EQX983060 FAT983060 FKP983060 FUL983060 GEH983060 GOD983060 GXZ983060 HHV983060 HRR983060 IBN983060 ILJ983060 IVF983060 JFB983060 JOX983060 JYT983060 KIP983060 KSL983060 LCH983060 LMD983060 LVZ983060 MFV983060 MPR983060 MZN983060 NJJ983060 NTF983060 ODB983060 OMX983060 OWT983060 PGP983060 PQL983060 QAH983060 QKD983060 QTZ983060 RDV983060 RNR983060 RXN983060 SHJ983060 SRF983060 TBB983060 TKX983060 TUT983060 UEP983060 UOL983060 UYH983060 VID983060 VRZ983060 WBV983060 WLR983060 WVN983060"/>
    <dataValidation type="decimal" operator="lessThanOrEqual" allowBlank="1" showInputMessage="1" showErrorMessage="1" error="No se pueden postular valores superiores a $100.000,00" sqref="F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WVN983046">
      <formula1>100000</formula1>
    </dataValidation>
    <dataValidation allowBlank="1" showInputMessage="1" showErrorMessage="1" errorTitle="ERROR" error="NO SE PUEDE APLICAR A MONTOS SUPERIORES A 125000" sqref="E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E65542 JA65542 SW65542 ACS65542 AMO65542 AWK65542 BGG65542 BQC65542 BZY65542 CJU65542 CTQ65542 DDM65542 DNI65542 DXE65542 EHA65542 EQW65542 FAS65542 FKO65542 FUK65542 GEG65542 GOC65542 GXY65542 HHU65542 HRQ65542 IBM65542 ILI65542 IVE65542 JFA65542 JOW65542 JYS65542 KIO65542 KSK65542 LCG65542 LMC65542 LVY65542 MFU65542 MPQ65542 MZM65542 NJI65542 NTE65542 ODA65542 OMW65542 OWS65542 PGO65542 PQK65542 QAG65542 QKC65542 QTY65542 RDU65542 RNQ65542 RXM65542 SHI65542 SRE65542 TBA65542 TKW65542 TUS65542 UEO65542 UOK65542 UYG65542 VIC65542 VRY65542 WBU65542 WLQ65542 WVM65542 E131078 JA131078 SW131078 ACS131078 AMO131078 AWK131078 BGG131078 BQC131078 BZY131078 CJU131078 CTQ131078 DDM131078 DNI131078 DXE131078 EHA131078 EQW131078 FAS131078 FKO131078 FUK131078 GEG131078 GOC131078 GXY131078 HHU131078 HRQ131078 IBM131078 ILI131078 IVE131078 JFA131078 JOW131078 JYS131078 KIO131078 KSK131078 LCG131078 LMC131078 LVY131078 MFU131078 MPQ131078 MZM131078 NJI131078 NTE131078 ODA131078 OMW131078 OWS131078 PGO131078 PQK131078 QAG131078 QKC131078 QTY131078 RDU131078 RNQ131078 RXM131078 SHI131078 SRE131078 TBA131078 TKW131078 TUS131078 UEO131078 UOK131078 UYG131078 VIC131078 VRY131078 WBU131078 WLQ131078 WVM131078 E196614 JA196614 SW196614 ACS196614 AMO196614 AWK196614 BGG196614 BQC196614 BZY196614 CJU196614 CTQ196614 DDM196614 DNI196614 DXE196614 EHA196614 EQW196614 FAS196614 FKO196614 FUK196614 GEG196614 GOC196614 GXY196614 HHU196614 HRQ196614 IBM196614 ILI196614 IVE196614 JFA196614 JOW196614 JYS196614 KIO196614 KSK196614 LCG196614 LMC196614 LVY196614 MFU196614 MPQ196614 MZM196614 NJI196614 NTE196614 ODA196614 OMW196614 OWS196614 PGO196614 PQK196614 QAG196614 QKC196614 QTY196614 RDU196614 RNQ196614 RXM196614 SHI196614 SRE196614 TBA196614 TKW196614 TUS196614 UEO196614 UOK196614 UYG196614 VIC196614 VRY196614 WBU196614 WLQ196614 WVM196614 E262150 JA262150 SW262150 ACS262150 AMO262150 AWK262150 BGG262150 BQC262150 BZY262150 CJU262150 CTQ262150 DDM262150 DNI262150 DXE262150 EHA262150 EQW262150 FAS262150 FKO262150 FUK262150 GEG262150 GOC262150 GXY262150 HHU262150 HRQ262150 IBM262150 ILI262150 IVE262150 JFA262150 JOW262150 JYS262150 KIO262150 KSK262150 LCG262150 LMC262150 LVY262150 MFU262150 MPQ262150 MZM262150 NJI262150 NTE262150 ODA262150 OMW262150 OWS262150 PGO262150 PQK262150 QAG262150 QKC262150 QTY262150 RDU262150 RNQ262150 RXM262150 SHI262150 SRE262150 TBA262150 TKW262150 TUS262150 UEO262150 UOK262150 UYG262150 VIC262150 VRY262150 WBU262150 WLQ262150 WVM262150 E327686 JA327686 SW327686 ACS327686 AMO327686 AWK327686 BGG327686 BQC327686 BZY327686 CJU327686 CTQ327686 DDM327686 DNI327686 DXE327686 EHA327686 EQW327686 FAS327686 FKO327686 FUK327686 GEG327686 GOC327686 GXY327686 HHU327686 HRQ327686 IBM327686 ILI327686 IVE327686 JFA327686 JOW327686 JYS327686 KIO327686 KSK327686 LCG327686 LMC327686 LVY327686 MFU327686 MPQ327686 MZM327686 NJI327686 NTE327686 ODA327686 OMW327686 OWS327686 PGO327686 PQK327686 QAG327686 QKC327686 QTY327686 RDU327686 RNQ327686 RXM327686 SHI327686 SRE327686 TBA327686 TKW327686 TUS327686 UEO327686 UOK327686 UYG327686 VIC327686 VRY327686 WBU327686 WLQ327686 WVM327686 E393222 JA393222 SW393222 ACS393222 AMO393222 AWK393222 BGG393222 BQC393222 BZY393222 CJU393222 CTQ393222 DDM393222 DNI393222 DXE393222 EHA393222 EQW393222 FAS393222 FKO393222 FUK393222 GEG393222 GOC393222 GXY393222 HHU393222 HRQ393222 IBM393222 ILI393222 IVE393222 JFA393222 JOW393222 JYS393222 KIO393222 KSK393222 LCG393222 LMC393222 LVY393222 MFU393222 MPQ393222 MZM393222 NJI393222 NTE393222 ODA393222 OMW393222 OWS393222 PGO393222 PQK393222 QAG393222 QKC393222 QTY393222 RDU393222 RNQ393222 RXM393222 SHI393222 SRE393222 TBA393222 TKW393222 TUS393222 UEO393222 UOK393222 UYG393222 VIC393222 VRY393222 WBU393222 WLQ393222 WVM393222 E458758 JA458758 SW458758 ACS458758 AMO458758 AWK458758 BGG458758 BQC458758 BZY458758 CJU458758 CTQ458758 DDM458758 DNI458758 DXE458758 EHA458758 EQW458758 FAS458758 FKO458758 FUK458758 GEG458758 GOC458758 GXY458758 HHU458758 HRQ458758 IBM458758 ILI458758 IVE458758 JFA458758 JOW458758 JYS458758 KIO458758 KSK458758 LCG458758 LMC458758 LVY458758 MFU458758 MPQ458758 MZM458758 NJI458758 NTE458758 ODA458758 OMW458758 OWS458758 PGO458758 PQK458758 QAG458758 QKC458758 QTY458758 RDU458758 RNQ458758 RXM458758 SHI458758 SRE458758 TBA458758 TKW458758 TUS458758 UEO458758 UOK458758 UYG458758 VIC458758 VRY458758 WBU458758 WLQ458758 WVM458758 E524294 JA524294 SW524294 ACS524294 AMO524294 AWK524294 BGG524294 BQC524294 BZY524294 CJU524294 CTQ524294 DDM524294 DNI524294 DXE524294 EHA524294 EQW524294 FAS524294 FKO524294 FUK524294 GEG524294 GOC524294 GXY524294 HHU524294 HRQ524294 IBM524294 ILI524294 IVE524294 JFA524294 JOW524294 JYS524294 KIO524294 KSK524294 LCG524294 LMC524294 LVY524294 MFU524294 MPQ524294 MZM524294 NJI524294 NTE524294 ODA524294 OMW524294 OWS524294 PGO524294 PQK524294 QAG524294 QKC524294 QTY524294 RDU524294 RNQ524294 RXM524294 SHI524294 SRE524294 TBA524294 TKW524294 TUS524294 UEO524294 UOK524294 UYG524294 VIC524294 VRY524294 WBU524294 WLQ524294 WVM524294 E589830 JA589830 SW589830 ACS589830 AMO589830 AWK589830 BGG589830 BQC589830 BZY589830 CJU589830 CTQ589830 DDM589830 DNI589830 DXE589830 EHA589830 EQW589830 FAS589830 FKO589830 FUK589830 GEG589830 GOC589830 GXY589830 HHU589830 HRQ589830 IBM589830 ILI589830 IVE589830 JFA589830 JOW589830 JYS589830 KIO589830 KSK589830 LCG589830 LMC589830 LVY589830 MFU589830 MPQ589830 MZM589830 NJI589830 NTE589830 ODA589830 OMW589830 OWS589830 PGO589830 PQK589830 QAG589830 QKC589830 QTY589830 RDU589830 RNQ589830 RXM589830 SHI589830 SRE589830 TBA589830 TKW589830 TUS589830 UEO589830 UOK589830 UYG589830 VIC589830 VRY589830 WBU589830 WLQ589830 WVM589830 E655366 JA655366 SW655366 ACS655366 AMO655366 AWK655366 BGG655366 BQC655366 BZY655366 CJU655366 CTQ655366 DDM655366 DNI655366 DXE655366 EHA655366 EQW655366 FAS655366 FKO655366 FUK655366 GEG655366 GOC655366 GXY655366 HHU655366 HRQ655366 IBM655366 ILI655366 IVE655366 JFA655366 JOW655366 JYS655366 KIO655366 KSK655366 LCG655366 LMC655366 LVY655366 MFU655366 MPQ655366 MZM655366 NJI655366 NTE655366 ODA655366 OMW655366 OWS655366 PGO655366 PQK655366 QAG655366 QKC655366 QTY655366 RDU655366 RNQ655366 RXM655366 SHI655366 SRE655366 TBA655366 TKW655366 TUS655366 UEO655366 UOK655366 UYG655366 VIC655366 VRY655366 WBU655366 WLQ655366 WVM655366 E720902 JA720902 SW720902 ACS720902 AMO720902 AWK720902 BGG720902 BQC720902 BZY720902 CJU720902 CTQ720902 DDM720902 DNI720902 DXE720902 EHA720902 EQW720902 FAS720902 FKO720902 FUK720902 GEG720902 GOC720902 GXY720902 HHU720902 HRQ720902 IBM720902 ILI720902 IVE720902 JFA720902 JOW720902 JYS720902 KIO720902 KSK720902 LCG720902 LMC720902 LVY720902 MFU720902 MPQ720902 MZM720902 NJI720902 NTE720902 ODA720902 OMW720902 OWS720902 PGO720902 PQK720902 QAG720902 QKC720902 QTY720902 RDU720902 RNQ720902 RXM720902 SHI720902 SRE720902 TBA720902 TKW720902 TUS720902 UEO720902 UOK720902 UYG720902 VIC720902 VRY720902 WBU720902 WLQ720902 WVM720902 E786438 JA786438 SW786438 ACS786438 AMO786438 AWK786438 BGG786438 BQC786438 BZY786438 CJU786438 CTQ786438 DDM786438 DNI786438 DXE786438 EHA786438 EQW786438 FAS786438 FKO786438 FUK786438 GEG786438 GOC786438 GXY786438 HHU786438 HRQ786438 IBM786438 ILI786438 IVE786438 JFA786438 JOW786438 JYS786438 KIO786438 KSK786438 LCG786438 LMC786438 LVY786438 MFU786438 MPQ786438 MZM786438 NJI786438 NTE786438 ODA786438 OMW786438 OWS786438 PGO786438 PQK786438 QAG786438 QKC786438 QTY786438 RDU786438 RNQ786438 RXM786438 SHI786438 SRE786438 TBA786438 TKW786438 TUS786438 UEO786438 UOK786438 UYG786438 VIC786438 VRY786438 WBU786438 WLQ786438 WVM786438 E851974 JA851974 SW851974 ACS851974 AMO851974 AWK851974 BGG851974 BQC851974 BZY851974 CJU851974 CTQ851974 DDM851974 DNI851974 DXE851974 EHA851974 EQW851974 FAS851974 FKO851974 FUK851974 GEG851974 GOC851974 GXY851974 HHU851974 HRQ851974 IBM851974 ILI851974 IVE851974 JFA851974 JOW851974 JYS851974 KIO851974 KSK851974 LCG851974 LMC851974 LVY851974 MFU851974 MPQ851974 MZM851974 NJI851974 NTE851974 ODA851974 OMW851974 OWS851974 PGO851974 PQK851974 QAG851974 QKC851974 QTY851974 RDU851974 RNQ851974 RXM851974 SHI851974 SRE851974 TBA851974 TKW851974 TUS851974 UEO851974 UOK851974 UYG851974 VIC851974 VRY851974 WBU851974 WLQ851974 WVM851974 E917510 JA917510 SW917510 ACS917510 AMO917510 AWK917510 BGG917510 BQC917510 BZY917510 CJU917510 CTQ917510 DDM917510 DNI917510 DXE917510 EHA917510 EQW917510 FAS917510 FKO917510 FUK917510 GEG917510 GOC917510 GXY917510 HHU917510 HRQ917510 IBM917510 ILI917510 IVE917510 JFA917510 JOW917510 JYS917510 KIO917510 KSK917510 LCG917510 LMC917510 LVY917510 MFU917510 MPQ917510 MZM917510 NJI917510 NTE917510 ODA917510 OMW917510 OWS917510 PGO917510 PQK917510 QAG917510 QKC917510 QTY917510 RDU917510 RNQ917510 RXM917510 SHI917510 SRE917510 TBA917510 TKW917510 TUS917510 UEO917510 UOK917510 UYG917510 VIC917510 VRY917510 WBU917510 WLQ917510 WVM917510 E983046 JA983046 SW983046 ACS983046 AMO983046 AWK983046 BGG983046 BQC983046 BZY983046 CJU983046 CTQ983046 DDM983046 DNI983046 DXE983046 EHA983046 EQW983046 FAS983046 FKO983046 FUK983046 GEG983046 GOC983046 GXY983046 HHU983046 HRQ983046 IBM983046 ILI983046 IVE983046 JFA983046 JOW983046 JYS983046 KIO983046 KSK983046 LCG983046 LMC983046 LVY983046 MFU983046 MPQ983046 MZM983046 NJI983046 NTE983046 ODA983046 OMW983046 OWS983046 PGO983046 PQK983046 QAG983046 QKC983046 QTY983046 RDU983046 RNQ983046 RXM983046 SHI983046 SRE983046 TBA983046 TKW983046 TUS983046 UEO983046 UOK983046 UYG983046 VIC983046 VRY983046 WBU983046 WLQ983046 WVM983046"/>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sheetPr codeName="Hoja21"/>
  <dimension ref="A2:D15"/>
  <sheetViews>
    <sheetView workbookViewId="0">
      <selection activeCell="F10" sqref="F10"/>
    </sheetView>
  </sheetViews>
  <sheetFormatPr baseColWidth="10" defaultRowHeight="15"/>
  <cols>
    <col min="1" max="1" width="18.42578125" style="1" customWidth="1"/>
    <col min="2" max="2" width="25.140625" style="1" customWidth="1"/>
    <col min="3" max="3" width="27.5703125" style="1" customWidth="1"/>
    <col min="4" max="16384" width="11.42578125" style="1"/>
  </cols>
  <sheetData>
    <row r="2" spans="1:4">
      <c r="A2" s="74" t="s">
        <v>166</v>
      </c>
    </row>
    <row r="3" spans="1:4" ht="18.75">
      <c r="B3" s="247" t="s">
        <v>94</v>
      </c>
      <c r="C3" s="248"/>
      <c r="D3"/>
    </row>
    <row r="5" spans="1:4" ht="30">
      <c r="B5" s="13" t="s">
        <v>130</v>
      </c>
      <c r="C5" s="16"/>
      <c r="D5" s="2"/>
    </row>
    <row r="7" spans="1:4" ht="20.25" customHeight="1">
      <c r="B7" s="285" t="s">
        <v>214</v>
      </c>
      <c r="C7" s="304"/>
    </row>
    <row r="8" spans="1:4" ht="20.25" customHeight="1">
      <c r="B8" s="305"/>
      <c r="C8" s="306"/>
    </row>
    <row r="9" spans="1:4" ht="20.25" customHeight="1">
      <c r="B9" s="305"/>
      <c r="C9" s="306"/>
      <c r="D9" s="2"/>
    </row>
    <row r="10" spans="1:4" ht="20.25" customHeight="1">
      <c r="B10" s="307"/>
      <c r="C10" s="308"/>
    </row>
    <row r="11" spans="1:4" ht="20.25" customHeight="1">
      <c r="B11" s="97"/>
      <c r="C11" s="97"/>
    </row>
    <row r="12" spans="1:4" ht="20.25" customHeight="1">
      <c r="B12" s="97"/>
      <c r="C12" s="97"/>
    </row>
    <row r="13" spans="1:4" ht="20.25" customHeight="1">
      <c r="B13" s="97"/>
      <c r="C13" s="97"/>
    </row>
    <row r="14" spans="1:4" ht="20.25" customHeight="1">
      <c r="B14" s="97"/>
      <c r="C14" s="97"/>
    </row>
    <row r="15" spans="1:4" ht="28.5" customHeight="1">
      <c r="B15" s="97"/>
      <c r="C15" s="97"/>
    </row>
  </sheetData>
  <sheetProtection password="86F2" sheet="1" objects="1" scenarios="1"/>
  <mergeCells count="2">
    <mergeCell ref="B3:C3"/>
    <mergeCell ref="B7:C10"/>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Hoja22"/>
  <dimension ref="A2:I33"/>
  <sheetViews>
    <sheetView zoomScale="80" zoomScaleNormal="80" workbookViewId="0">
      <selection activeCell="E34" sqref="E34"/>
    </sheetView>
  </sheetViews>
  <sheetFormatPr baseColWidth="10" defaultRowHeight="15"/>
  <cols>
    <col min="1" max="1" width="24.7109375" style="88" customWidth="1"/>
    <col min="2" max="2" width="41.28515625" style="88" customWidth="1"/>
    <col min="3" max="3" width="11.42578125" style="88"/>
    <col min="4" max="4" width="42" style="88" customWidth="1"/>
    <col min="5" max="5" width="22.7109375" style="88" customWidth="1"/>
    <col min="6" max="6" width="27.85546875" style="88" customWidth="1"/>
    <col min="7" max="7" width="16.7109375" style="88" customWidth="1"/>
    <col min="8" max="8" width="16.85546875" style="88" customWidth="1"/>
    <col min="9" max="16384" width="11.42578125" style="88"/>
  </cols>
  <sheetData>
    <row r="2" spans="1:9">
      <c r="A2" s="74" t="s">
        <v>186</v>
      </c>
    </row>
    <row r="7" spans="1:9" ht="15" customHeight="1">
      <c r="A7" s="285" t="s">
        <v>225</v>
      </c>
      <c r="B7" s="304"/>
      <c r="D7" s="309" t="s">
        <v>106</v>
      </c>
      <c r="E7" s="309"/>
      <c r="F7" s="309"/>
      <c r="G7" s="309"/>
      <c r="H7" s="309"/>
    </row>
    <row r="8" spans="1:9" ht="45">
      <c r="A8" s="305"/>
      <c r="B8" s="306"/>
      <c r="D8" s="46" t="s">
        <v>107</v>
      </c>
      <c r="E8" s="24" t="s">
        <v>108</v>
      </c>
      <c r="F8" s="24" t="s">
        <v>109</v>
      </c>
      <c r="G8" s="47" t="s">
        <v>110</v>
      </c>
      <c r="H8" s="47" t="s">
        <v>111</v>
      </c>
    </row>
    <row r="9" spans="1:9">
      <c r="A9" s="305"/>
      <c r="B9" s="306"/>
      <c r="D9" s="36" t="s">
        <v>112</v>
      </c>
      <c r="E9" s="49">
        <v>200000</v>
      </c>
      <c r="F9" s="49">
        <v>50000</v>
      </c>
      <c r="G9" s="50">
        <f>F9+E9</f>
        <v>250000</v>
      </c>
      <c r="H9" s="73">
        <f>$G9/$G$13</f>
        <v>0.81300813008130079</v>
      </c>
    </row>
    <row r="10" spans="1:9" ht="30" customHeight="1">
      <c r="A10" s="305"/>
      <c r="B10" s="306"/>
      <c r="D10" s="36" t="s">
        <v>113</v>
      </c>
      <c r="E10" s="49">
        <v>40000</v>
      </c>
      <c r="F10" s="49">
        <v>10000</v>
      </c>
      <c r="G10" s="50">
        <f>F10+E10</f>
        <v>50000</v>
      </c>
      <c r="H10" s="73">
        <f>$G10/$G$13</f>
        <v>0.16260162601626016</v>
      </c>
    </row>
    <row r="11" spans="1:9" ht="44.25" customHeight="1">
      <c r="A11" s="305"/>
      <c r="B11" s="306"/>
      <c r="D11" s="52" t="s">
        <v>114</v>
      </c>
      <c r="E11" s="49">
        <v>5000</v>
      </c>
      <c r="F11" s="49">
        <v>2500</v>
      </c>
      <c r="G11" s="50">
        <f>F11+E11</f>
        <v>7500</v>
      </c>
      <c r="H11" s="73">
        <f>$G11/$G$13</f>
        <v>2.4390243902439025E-2</v>
      </c>
    </row>
    <row r="12" spans="1:9">
      <c r="A12" s="305"/>
      <c r="B12" s="306"/>
      <c r="D12" s="36" t="s">
        <v>115</v>
      </c>
      <c r="E12" s="49"/>
      <c r="F12" s="49"/>
      <c r="G12" s="50">
        <f>F12+E12</f>
        <v>0</v>
      </c>
      <c r="H12" s="73">
        <f>$G12/$G$13</f>
        <v>0</v>
      </c>
      <c r="I12" s="57"/>
    </row>
    <row r="13" spans="1:9">
      <c r="A13" s="305"/>
      <c r="B13" s="306"/>
      <c r="D13" s="53" t="s">
        <v>116</v>
      </c>
      <c r="E13" s="50">
        <f>SUM(E9:E12)</f>
        <v>245000</v>
      </c>
      <c r="F13" s="50">
        <f>SUM(F9:F12)</f>
        <v>62500</v>
      </c>
      <c r="G13" s="50">
        <f>F13+E13</f>
        <v>307500</v>
      </c>
      <c r="H13" s="73">
        <f>SUM(H9:H12)</f>
        <v>1</v>
      </c>
      <c r="I13" s="58">
        <f>(G13/100)*20</f>
        <v>61500</v>
      </c>
    </row>
    <row r="14" spans="1:9">
      <c r="A14" s="305"/>
      <c r="B14" s="306"/>
      <c r="D14" s="12" t="s">
        <v>103</v>
      </c>
      <c r="E14" s="54">
        <f>E13/G13</f>
        <v>0.7967479674796748</v>
      </c>
      <c r="F14" s="54">
        <f>F13/G13</f>
        <v>0.2032520325203252</v>
      </c>
      <c r="G14" s="33">
        <f>SUM(E14+F14)</f>
        <v>1</v>
      </c>
      <c r="H14" s="57"/>
      <c r="I14" s="57"/>
    </row>
    <row r="15" spans="1:9">
      <c r="A15" s="305"/>
      <c r="B15" s="306"/>
      <c r="G15" s="57"/>
      <c r="H15" s="57"/>
      <c r="I15" s="57"/>
    </row>
    <row r="16" spans="1:9" ht="30" customHeight="1">
      <c r="A16" s="305"/>
      <c r="B16" s="306"/>
      <c r="G16" s="57"/>
      <c r="H16" s="57"/>
      <c r="I16" s="57"/>
    </row>
    <row r="17" spans="1:9" ht="30" customHeight="1">
      <c r="A17" s="305"/>
      <c r="B17" s="306"/>
      <c r="G17" s="57"/>
      <c r="H17" s="57"/>
      <c r="I17" s="57"/>
    </row>
    <row r="18" spans="1:9" ht="45" customHeight="1">
      <c r="A18" s="305"/>
      <c r="B18" s="306"/>
      <c r="G18" s="57"/>
      <c r="H18" s="57"/>
      <c r="I18" s="57"/>
    </row>
    <row r="19" spans="1:9">
      <c r="A19" s="305"/>
      <c r="B19" s="306"/>
      <c r="G19" s="57"/>
      <c r="H19" s="57"/>
      <c r="I19" s="57"/>
    </row>
    <row r="20" spans="1:9">
      <c r="A20" s="305"/>
      <c r="B20" s="306"/>
      <c r="D20" s="91"/>
      <c r="E20" s="57"/>
      <c r="F20" s="90"/>
      <c r="G20" s="57"/>
      <c r="H20" s="57"/>
      <c r="I20" s="57"/>
    </row>
    <row r="21" spans="1:9" ht="35.1" customHeight="1">
      <c r="A21" s="305"/>
      <c r="B21" s="306"/>
      <c r="D21" s="294" t="s">
        <v>290</v>
      </c>
      <c r="E21" s="295"/>
      <c r="F21" s="296"/>
      <c r="G21" s="58">
        <f>(F13/100)*25</f>
        <v>15625</v>
      </c>
      <c r="H21" s="57"/>
      <c r="I21" s="57"/>
    </row>
    <row r="22" spans="1:9">
      <c r="A22" s="305"/>
      <c r="B22" s="306"/>
      <c r="D22" s="36" t="s">
        <v>101</v>
      </c>
      <c r="E22" s="36" t="s">
        <v>102</v>
      </c>
      <c r="F22" s="37" t="s">
        <v>103</v>
      </c>
      <c r="H22" s="57"/>
      <c r="I22" s="57"/>
    </row>
    <row r="23" spans="1:9">
      <c r="A23" s="305"/>
      <c r="B23" s="306"/>
      <c r="D23" s="36" t="s">
        <v>224</v>
      </c>
      <c r="E23" s="38">
        <v>20000</v>
      </c>
      <c r="F23" s="89">
        <f>$E23/$F$13</f>
        <v>0.32</v>
      </c>
      <c r="H23" s="57"/>
      <c r="I23" s="57"/>
    </row>
    <row r="24" spans="1:9">
      <c r="A24" s="305"/>
      <c r="B24" s="306"/>
      <c r="D24" s="36" t="s">
        <v>104</v>
      </c>
      <c r="E24" s="38">
        <v>20000</v>
      </c>
      <c r="F24" s="89">
        <f>$E24/$F$13</f>
        <v>0.32</v>
      </c>
      <c r="H24" s="57"/>
      <c r="I24" s="57"/>
    </row>
    <row r="25" spans="1:9">
      <c r="A25" s="305"/>
      <c r="B25" s="306"/>
      <c r="D25" s="36" t="s">
        <v>105</v>
      </c>
      <c r="E25" s="59">
        <v>22500</v>
      </c>
      <c r="F25" s="89">
        <f>$E25/$F$13</f>
        <v>0.36</v>
      </c>
    </row>
    <row r="26" spans="1:9">
      <c r="A26" s="305"/>
      <c r="B26" s="306"/>
      <c r="D26" s="36" t="s">
        <v>102</v>
      </c>
      <c r="E26" s="40">
        <f>SUM(E23:E25)</f>
        <v>62500</v>
      </c>
      <c r="F26" s="89">
        <f>$E26/$F$13</f>
        <v>1</v>
      </c>
    </row>
    <row r="27" spans="1:9">
      <c r="A27" s="305"/>
      <c r="B27" s="306"/>
    </row>
    <row r="28" spans="1:9">
      <c r="A28" s="305"/>
      <c r="B28" s="306"/>
    </row>
    <row r="29" spans="1:9">
      <c r="A29" s="305"/>
      <c r="B29" s="306"/>
    </row>
    <row r="30" spans="1:9">
      <c r="A30" s="305"/>
      <c r="B30" s="306"/>
    </row>
    <row r="31" spans="1:9">
      <c r="A31" s="305"/>
      <c r="B31" s="306"/>
    </row>
    <row r="32" spans="1:9">
      <c r="A32" s="305"/>
      <c r="B32" s="306"/>
    </row>
    <row r="33" spans="1:2">
      <c r="A33" s="307"/>
      <c r="B33" s="308"/>
    </row>
  </sheetData>
  <sheetProtection password="86F2" sheet="1" objects="1" scenarios="1"/>
  <mergeCells count="3">
    <mergeCell ref="D7:H7"/>
    <mergeCell ref="D21:F21"/>
    <mergeCell ref="A7:B33"/>
  </mergeCells>
  <conditionalFormatting sqref="E23">
    <cfRule type="cellIs" dxfId="15" priority="15" operator="greaterThanOrEqual">
      <formula>$G$21</formula>
    </cfRule>
    <cfRule type="cellIs" dxfId="14" priority="16" operator="lessThan">
      <formula>$G$21</formula>
    </cfRule>
  </conditionalFormatting>
  <conditionalFormatting sqref="E14">
    <cfRule type="cellIs" dxfId="13" priority="13" operator="greaterThan">
      <formula>0.8</formula>
    </cfRule>
    <cfRule type="cellIs" dxfId="12" priority="14" operator="lessThanOrEqual">
      <formula>0.8</formula>
    </cfRule>
  </conditionalFormatting>
  <conditionalFormatting sqref="F14">
    <cfRule type="cellIs" dxfId="11" priority="11" operator="greaterThanOrEqual">
      <formula>0.2</formula>
    </cfRule>
    <cfRule type="cellIs" dxfId="10" priority="12" operator="lessThan">
      <formula>0.2</formula>
    </cfRule>
  </conditionalFormatting>
  <conditionalFormatting sqref="E26">
    <cfRule type="cellIs" dxfId="9" priority="9" operator="notEqual">
      <formula>$F$13</formula>
    </cfRule>
    <cfRule type="cellIs" dxfId="8" priority="10" operator="equal">
      <formula>$F$13</formula>
    </cfRule>
  </conditionalFormatting>
  <conditionalFormatting sqref="E13">
    <cfRule type="cellIs" dxfId="7" priority="7" stopIfTrue="1" operator="greaterThan">
      <formula>250000</formula>
    </cfRule>
    <cfRule type="cellIs" dxfId="6" priority="8" stopIfTrue="1" operator="lessThanOrEqual">
      <formula>250000</formula>
    </cfRule>
  </conditionalFormatting>
  <conditionalFormatting sqref="F13">
    <cfRule type="cellIs" dxfId="5" priority="5" stopIfTrue="1" operator="lessThan">
      <formula>$I$13</formula>
    </cfRule>
    <cfRule type="cellIs" dxfId="4" priority="6" stopIfTrue="1" operator="greaterThanOrEqual">
      <formula>$I$13</formula>
    </cfRule>
  </conditionalFormatting>
  <conditionalFormatting sqref="F23">
    <cfRule type="cellIs" dxfId="3" priority="3" stopIfTrue="1" operator="greaterThanOrEqual">
      <formula>0.25</formula>
    </cfRule>
    <cfRule type="cellIs" dxfId="2" priority="4" stopIfTrue="1" operator="lessThan">
      <formula>0.25</formula>
    </cfRule>
  </conditionalFormatting>
  <conditionalFormatting sqref="F26">
    <cfRule type="cellIs" dxfId="1" priority="1" stopIfTrue="1" operator="notEqual">
      <formula>1</formula>
    </cfRule>
    <cfRule type="cellIs" dxfId="0" priority="2" stopIfTrue="1" operator="equal">
      <formula>1</formula>
    </cfRule>
  </conditionalFormatting>
  <dataValidations count="1">
    <dataValidation type="decimal" operator="greaterThan" allowBlank="1" showInputMessage="1" showErrorMessage="1" sqref="E13 JA13 SW13 ACS13 AMO13 AWK13 BGG13 BQC13 BZY13 CJU13 CTQ13 DDM13 DNI13 DXE13 EHA13 EQW13 FAS13 FKO13 FUK13 GEG13 GOC13 GXY13 HHU13 HRQ13 IBM13 ILI13 IVE13 JFA13 JOW13 JYS13 KIO13 KSK13 LCG13 LMC13 LVY13 MFU13 MPQ13 MZM13 NJI13 NTE13 ODA13 OMW13 OWS13 PGO13 PQK13 QAG13 QKC13 QTY13 RDU13 RNQ13 RXM13 SHI13 SRE13 TBA13 TKW13 TUS13 UEO13 UOK13 UYG13 VIC13 VRY13 WBU13 WLQ13 WVM13 E65549 JA65549 SW65549 ACS65549 AMO65549 AWK65549 BGG65549 BQC65549 BZY65549 CJU65549 CTQ65549 DDM65549 DNI65549 DXE65549 EHA65549 EQW65549 FAS65549 FKO65549 FUK65549 GEG65549 GOC65549 GXY65549 HHU65549 HRQ65549 IBM65549 ILI65549 IVE65549 JFA65549 JOW65549 JYS65549 KIO65549 KSK65549 LCG65549 LMC65549 LVY65549 MFU65549 MPQ65549 MZM65549 NJI65549 NTE65549 ODA65549 OMW65549 OWS65549 PGO65549 PQK65549 QAG65549 QKC65549 QTY65549 RDU65549 RNQ65549 RXM65549 SHI65549 SRE65549 TBA65549 TKW65549 TUS65549 UEO65549 UOK65549 UYG65549 VIC65549 VRY65549 WBU65549 WLQ65549 WVM65549 E131085 JA131085 SW131085 ACS131085 AMO131085 AWK131085 BGG131085 BQC131085 BZY131085 CJU131085 CTQ131085 DDM131085 DNI131085 DXE131085 EHA131085 EQW131085 FAS131085 FKO131085 FUK131085 GEG131085 GOC131085 GXY131085 HHU131085 HRQ131085 IBM131085 ILI131085 IVE131085 JFA131085 JOW131085 JYS131085 KIO131085 KSK131085 LCG131085 LMC131085 LVY131085 MFU131085 MPQ131085 MZM131085 NJI131085 NTE131085 ODA131085 OMW131085 OWS131085 PGO131085 PQK131085 QAG131085 QKC131085 QTY131085 RDU131085 RNQ131085 RXM131085 SHI131085 SRE131085 TBA131085 TKW131085 TUS131085 UEO131085 UOK131085 UYG131085 VIC131085 VRY131085 WBU131085 WLQ131085 WVM131085 E196621 JA196621 SW196621 ACS196621 AMO196621 AWK196621 BGG196621 BQC196621 BZY196621 CJU196621 CTQ196621 DDM196621 DNI196621 DXE196621 EHA196621 EQW196621 FAS196621 FKO196621 FUK196621 GEG196621 GOC196621 GXY196621 HHU196621 HRQ196621 IBM196621 ILI196621 IVE196621 JFA196621 JOW196621 JYS196621 KIO196621 KSK196621 LCG196621 LMC196621 LVY196621 MFU196621 MPQ196621 MZM196621 NJI196621 NTE196621 ODA196621 OMW196621 OWS196621 PGO196621 PQK196621 QAG196621 QKC196621 QTY196621 RDU196621 RNQ196621 RXM196621 SHI196621 SRE196621 TBA196621 TKW196621 TUS196621 UEO196621 UOK196621 UYG196621 VIC196621 VRY196621 WBU196621 WLQ196621 WVM196621 E262157 JA262157 SW262157 ACS262157 AMO262157 AWK262157 BGG262157 BQC262157 BZY262157 CJU262157 CTQ262157 DDM262157 DNI262157 DXE262157 EHA262157 EQW262157 FAS262157 FKO262157 FUK262157 GEG262157 GOC262157 GXY262157 HHU262157 HRQ262157 IBM262157 ILI262157 IVE262157 JFA262157 JOW262157 JYS262157 KIO262157 KSK262157 LCG262157 LMC262157 LVY262157 MFU262157 MPQ262157 MZM262157 NJI262157 NTE262157 ODA262157 OMW262157 OWS262157 PGO262157 PQK262157 QAG262157 QKC262157 QTY262157 RDU262157 RNQ262157 RXM262157 SHI262157 SRE262157 TBA262157 TKW262157 TUS262157 UEO262157 UOK262157 UYG262157 VIC262157 VRY262157 WBU262157 WLQ262157 WVM262157 E327693 JA327693 SW327693 ACS327693 AMO327693 AWK327693 BGG327693 BQC327693 BZY327693 CJU327693 CTQ327693 DDM327693 DNI327693 DXE327693 EHA327693 EQW327693 FAS327693 FKO327693 FUK327693 GEG327693 GOC327693 GXY327693 HHU327693 HRQ327693 IBM327693 ILI327693 IVE327693 JFA327693 JOW327693 JYS327693 KIO327693 KSK327693 LCG327693 LMC327693 LVY327693 MFU327693 MPQ327693 MZM327693 NJI327693 NTE327693 ODA327693 OMW327693 OWS327693 PGO327693 PQK327693 QAG327693 QKC327693 QTY327693 RDU327693 RNQ327693 RXM327693 SHI327693 SRE327693 TBA327693 TKW327693 TUS327693 UEO327693 UOK327693 UYG327693 VIC327693 VRY327693 WBU327693 WLQ327693 WVM327693 E393229 JA393229 SW393229 ACS393229 AMO393229 AWK393229 BGG393229 BQC393229 BZY393229 CJU393229 CTQ393229 DDM393229 DNI393229 DXE393229 EHA393229 EQW393229 FAS393229 FKO393229 FUK393229 GEG393229 GOC393229 GXY393229 HHU393229 HRQ393229 IBM393229 ILI393229 IVE393229 JFA393229 JOW393229 JYS393229 KIO393229 KSK393229 LCG393229 LMC393229 LVY393229 MFU393229 MPQ393229 MZM393229 NJI393229 NTE393229 ODA393229 OMW393229 OWS393229 PGO393229 PQK393229 QAG393229 QKC393229 QTY393229 RDU393229 RNQ393229 RXM393229 SHI393229 SRE393229 TBA393229 TKW393229 TUS393229 UEO393229 UOK393229 UYG393229 VIC393229 VRY393229 WBU393229 WLQ393229 WVM393229 E458765 JA458765 SW458765 ACS458765 AMO458765 AWK458765 BGG458765 BQC458765 BZY458765 CJU458765 CTQ458765 DDM458765 DNI458765 DXE458765 EHA458765 EQW458765 FAS458765 FKO458765 FUK458765 GEG458765 GOC458765 GXY458765 HHU458765 HRQ458765 IBM458765 ILI458765 IVE458765 JFA458765 JOW458765 JYS458765 KIO458765 KSK458765 LCG458765 LMC458765 LVY458765 MFU458765 MPQ458765 MZM458765 NJI458765 NTE458765 ODA458765 OMW458765 OWS458765 PGO458765 PQK458765 QAG458765 QKC458765 QTY458765 RDU458765 RNQ458765 RXM458765 SHI458765 SRE458765 TBA458765 TKW458765 TUS458765 UEO458765 UOK458765 UYG458765 VIC458765 VRY458765 WBU458765 WLQ458765 WVM458765 E524301 JA524301 SW524301 ACS524301 AMO524301 AWK524301 BGG524301 BQC524301 BZY524301 CJU524301 CTQ524301 DDM524301 DNI524301 DXE524301 EHA524301 EQW524301 FAS524301 FKO524301 FUK524301 GEG524301 GOC524301 GXY524301 HHU524301 HRQ524301 IBM524301 ILI524301 IVE524301 JFA524301 JOW524301 JYS524301 KIO524301 KSK524301 LCG524301 LMC524301 LVY524301 MFU524301 MPQ524301 MZM524301 NJI524301 NTE524301 ODA524301 OMW524301 OWS524301 PGO524301 PQK524301 QAG524301 QKC524301 QTY524301 RDU524301 RNQ524301 RXM524301 SHI524301 SRE524301 TBA524301 TKW524301 TUS524301 UEO524301 UOK524301 UYG524301 VIC524301 VRY524301 WBU524301 WLQ524301 WVM524301 E589837 JA589837 SW589837 ACS589837 AMO589837 AWK589837 BGG589837 BQC589837 BZY589837 CJU589837 CTQ589837 DDM589837 DNI589837 DXE589837 EHA589837 EQW589837 FAS589837 FKO589837 FUK589837 GEG589837 GOC589837 GXY589837 HHU589837 HRQ589837 IBM589837 ILI589837 IVE589837 JFA589837 JOW589837 JYS589837 KIO589837 KSK589837 LCG589837 LMC589837 LVY589837 MFU589837 MPQ589837 MZM589837 NJI589837 NTE589837 ODA589837 OMW589837 OWS589837 PGO589837 PQK589837 QAG589837 QKC589837 QTY589837 RDU589837 RNQ589837 RXM589837 SHI589837 SRE589837 TBA589837 TKW589837 TUS589837 UEO589837 UOK589837 UYG589837 VIC589837 VRY589837 WBU589837 WLQ589837 WVM589837 E655373 JA655373 SW655373 ACS655373 AMO655373 AWK655373 BGG655373 BQC655373 BZY655373 CJU655373 CTQ655373 DDM655373 DNI655373 DXE655373 EHA655373 EQW655373 FAS655373 FKO655373 FUK655373 GEG655373 GOC655373 GXY655373 HHU655373 HRQ655373 IBM655373 ILI655373 IVE655373 JFA655373 JOW655373 JYS655373 KIO655373 KSK655373 LCG655373 LMC655373 LVY655373 MFU655373 MPQ655373 MZM655373 NJI655373 NTE655373 ODA655373 OMW655373 OWS655373 PGO655373 PQK655373 QAG655373 QKC655373 QTY655373 RDU655373 RNQ655373 RXM655373 SHI655373 SRE655373 TBA655373 TKW655373 TUS655373 UEO655373 UOK655373 UYG655373 VIC655373 VRY655373 WBU655373 WLQ655373 WVM655373 E720909 JA720909 SW720909 ACS720909 AMO720909 AWK720909 BGG720909 BQC720909 BZY720909 CJU720909 CTQ720909 DDM720909 DNI720909 DXE720909 EHA720909 EQW720909 FAS720909 FKO720909 FUK720909 GEG720909 GOC720909 GXY720909 HHU720909 HRQ720909 IBM720909 ILI720909 IVE720909 JFA720909 JOW720909 JYS720909 KIO720909 KSK720909 LCG720909 LMC720909 LVY720909 MFU720909 MPQ720909 MZM720909 NJI720909 NTE720909 ODA720909 OMW720909 OWS720909 PGO720909 PQK720909 QAG720909 QKC720909 QTY720909 RDU720909 RNQ720909 RXM720909 SHI720909 SRE720909 TBA720909 TKW720909 TUS720909 UEO720909 UOK720909 UYG720909 VIC720909 VRY720909 WBU720909 WLQ720909 WVM720909 E786445 JA786445 SW786445 ACS786445 AMO786445 AWK786445 BGG786445 BQC786445 BZY786445 CJU786445 CTQ786445 DDM786445 DNI786445 DXE786445 EHA786445 EQW786445 FAS786445 FKO786445 FUK786445 GEG786445 GOC786445 GXY786445 HHU786445 HRQ786445 IBM786445 ILI786445 IVE786445 JFA786445 JOW786445 JYS786445 KIO786445 KSK786445 LCG786445 LMC786445 LVY786445 MFU786445 MPQ786445 MZM786445 NJI786445 NTE786445 ODA786445 OMW786445 OWS786445 PGO786445 PQK786445 QAG786445 QKC786445 QTY786445 RDU786445 RNQ786445 RXM786445 SHI786445 SRE786445 TBA786445 TKW786445 TUS786445 UEO786445 UOK786445 UYG786445 VIC786445 VRY786445 WBU786445 WLQ786445 WVM786445 E851981 JA851981 SW851981 ACS851981 AMO851981 AWK851981 BGG851981 BQC851981 BZY851981 CJU851981 CTQ851981 DDM851981 DNI851981 DXE851981 EHA851981 EQW851981 FAS851981 FKO851981 FUK851981 GEG851981 GOC851981 GXY851981 HHU851981 HRQ851981 IBM851981 ILI851981 IVE851981 JFA851981 JOW851981 JYS851981 KIO851981 KSK851981 LCG851981 LMC851981 LVY851981 MFU851981 MPQ851981 MZM851981 NJI851981 NTE851981 ODA851981 OMW851981 OWS851981 PGO851981 PQK851981 QAG851981 QKC851981 QTY851981 RDU851981 RNQ851981 RXM851981 SHI851981 SRE851981 TBA851981 TKW851981 TUS851981 UEO851981 UOK851981 UYG851981 VIC851981 VRY851981 WBU851981 WLQ851981 WVM851981 E917517 JA917517 SW917517 ACS917517 AMO917517 AWK917517 BGG917517 BQC917517 BZY917517 CJU917517 CTQ917517 DDM917517 DNI917517 DXE917517 EHA917517 EQW917517 FAS917517 FKO917517 FUK917517 GEG917517 GOC917517 GXY917517 HHU917517 HRQ917517 IBM917517 ILI917517 IVE917517 JFA917517 JOW917517 JYS917517 KIO917517 KSK917517 LCG917517 LMC917517 LVY917517 MFU917517 MPQ917517 MZM917517 NJI917517 NTE917517 ODA917517 OMW917517 OWS917517 PGO917517 PQK917517 QAG917517 QKC917517 QTY917517 RDU917517 RNQ917517 RXM917517 SHI917517 SRE917517 TBA917517 TKW917517 TUS917517 UEO917517 UOK917517 UYG917517 VIC917517 VRY917517 WBU917517 WLQ917517 WVM917517 E983053 JA983053 SW983053 ACS983053 AMO983053 AWK983053 BGG983053 BQC983053 BZY983053 CJU983053 CTQ983053 DDM983053 DNI983053 DXE983053 EHA983053 EQW983053 FAS983053 FKO983053 FUK983053 GEG983053 GOC983053 GXY983053 HHU983053 HRQ983053 IBM983053 ILI983053 IVE983053 JFA983053 JOW983053 JYS983053 KIO983053 KSK983053 LCG983053 LMC983053 LVY983053 MFU983053 MPQ983053 MZM983053 NJI983053 NTE983053 ODA983053 OMW983053 OWS983053 PGO983053 PQK983053 QAG983053 QKC983053 QTY983053 RDU983053 RNQ983053 RXM983053 SHI983053 SRE983053 TBA983053 TKW983053 TUS983053 UEO983053 UOK983053 UYG983053 VIC983053 VRY983053 WBU983053 WLQ983053 WVM983053">
      <formula1>250000.01</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sheetPr codeName="Hoja23"/>
  <dimension ref="A2:L195"/>
  <sheetViews>
    <sheetView topLeftCell="A4" zoomScale="90" zoomScaleNormal="90" workbookViewId="0"/>
  </sheetViews>
  <sheetFormatPr baseColWidth="10" defaultRowHeight="15"/>
  <cols>
    <col min="1" max="1" width="24.85546875" style="1" customWidth="1"/>
    <col min="2" max="2" width="20.42578125" style="1" customWidth="1"/>
    <col min="3" max="16384" width="11.42578125" style="1"/>
  </cols>
  <sheetData>
    <row r="2" spans="1:10">
      <c r="A2" s="74" t="s">
        <v>186</v>
      </c>
      <c r="B2" s="92"/>
    </row>
    <row r="4" spans="1:10">
      <c r="C4" s="310" t="s">
        <v>119</v>
      </c>
      <c r="D4" s="311"/>
      <c r="E4" s="311"/>
      <c r="F4" s="312"/>
    </row>
    <row r="5" spans="1:10">
      <c r="B5" s="68" t="s">
        <v>194</v>
      </c>
    </row>
    <row r="6" spans="1:10" ht="15.75" customHeight="1">
      <c r="C6" s="285" t="s">
        <v>228</v>
      </c>
      <c r="D6" s="313"/>
      <c r="E6" s="313"/>
      <c r="F6" s="313"/>
      <c r="G6" s="313"/>
      <c r="H6" s="313"/>
      <c r="I6" s="313"/>
      <c r="J6" s="304"/>
    </row>
    <row r="7" spans="1:10">
      <c r="C7" s="305"/>
      <c r="D7" s="314"/>
      <c r="E7" s="314"/>
      <c r="F7" s="314"/>
      <c r="G7" s="314"/>
      <c r="H7" s="314"/>
      <c r="I7" s="314"/>
      <c r="J7" s="306"/>
    </row>
    <row r="8" spans="1:10">
      <c r="C8" s="305"/>
      <c r="D8" s="314"/>
      <c r="E8" s="314"/>
      <c r="F8" s="314"/>
      <c r="G8" s="314"/>
      <c r="H8" s="314"/>
      <c r="I8" s="314"/>
      <c r="J8" s="306"/>
    </row>
    <row r="9" spans="1:10">
      <c r="C9" s="305"/>
      <c r="D9" s="314"/>
      <c r="E9" s="314"/>
      <c r="F9" s="314"/>
      <c r="G9" s="314"/>
      <c r="H9" s="314"/>
      <c r="I9" s="314"/>
      <c r="J9" s="306"/>
    </row>
    <row r="10" spans="1:10">
      <c r="C10" s="305"/>
      <c r="D10" s="314"/>
      <c r="E10" s="314"/>
      <c r="F10" s="314"/>
      <c r="G10" s="314"/>
      <c r="H10" s="314"/>
      <c r="I10" s="314"/>
      <c r="J10" s="306"/>
    </row>
    <row r="11" spans="1:10">
      <c r="C11" s="305"/>
      <c r="D11" s="314"/>
      <c r="E11" s="314"/>
      <c r="F11" s="314"/>
      <c r="G11" s="314"/>
      <c r="H11" s="314"/>
      <c r="I11" s="314"/>
      <c r="J11" s="306"/>
    </row>
    <row r="12" spans="1:10">
      <c r="C12" s="305"/>
      <c r="D12" s="314"/>
      <c r="E12" s="314"/>
      <c r="F12" s="314"/>
      <c r="G12" s="314"/>
      <c r="H12" s="314"/>
      <c r="I12" s="314"/>
      <c r="J12" s="306"/>
    </row>
    <row r="13" spans="1:10">
      <c r="C13" s="305"/>
      <c r="D13" s="314"/>
      <c r="E13" s="314"/>
      <c r="F13" s="314"/>
      <c r="G13" s="314"/>
      <c r="H13" s="314"/>
      <c r="I13" s="314"/>
      <c r="J13" s="306"/>
    </row>
    <row r="14" spans="1:10">
      <c r="C14" s="305"/>
      <c r="D14" s="314"/>
      <c r="E14" s="314"/>
      <c r="F14" s="314"/>
      <c r="G14" s="314"/>
      <c r="H14" s="314"/>
      <c r="I14" s="314"/>
      <c r="J14" s="306"/>
    </row>
    <row r="15" spans="1:10">
      <c r="C15" s="305"/>
      <c r="D15" s="314"/>
      <c r="E15" s="314"/>
      <c r="F15" s="314"/>
      <c r="G15" s="314"/>
      <c r="H15" s="314"/>
      <c r="I15" s="314"/>
      <c r="J15" s="306"/>
    </row>
    <row r="16" spans="1:10">
      <c r="C16" s="305"/>
      <c r="D16" s="314"/>
      <c r="E16" s="314"/>
      <c r="F16" s="314"/>
      <c r="G16" s="314"/>
      <c r="H16" s="314"/>
      <c r="I16" s="314"/>
      <c r="J16" s="306"/>
    </row>
    <row r="17" spans="2:12">
      <c r="C17" s="305"/>
      <c r="D17" s="314"/>
      <c r="E17" s="314"/>
      <c r="F17" s="314"/>
      <c r="G17" s="314"/>
      <c r="H17" s="314"/>
      <c r="I17" s="314"/>
      <c r="J17" s="306"/>
    </row>
    <row r="18" spans="2:12">
      <c r="C18" s="305"/>
      <c r="D18" s="314"/>
      <c r="E18" s="314"/>
      <c r="F18" s="314"/>
      <c r="G18" s="314"/>
      <c r="H18" s="314"/>
      <c r="I18" s="314"/>
      <c r="J18" s="306"/>
    </row>
    <row r="19" spans="2:12">
      <c r="C19" s="305"/>
      <c r="D19" s="314"/>
      <c r="E19" s="314"/>
      <c r="F19" s="314"/>
      <c r="G19" s="314"/>
      <c r="H19" s="314"/>
      <c r="I19" s="314"/>
      <c r="J19" s="306"/>
    </row>
    <row r="20" spans="2:12">
      <c r="C20" s="305"/>
      <c r="D20" s="314"/>
      <c r="E20" s="314"/>
      <c r="F20" s="314"/>
      <c r="G20" s="314"/>
      <c r="H20" s="314"/>
      <c r="I20" s="314"/>
      <c r="J20" s="306"/>
    </row>
    <row r="21" spans="2:12">
      <c r="C21" s="305"/>
      <c r="D21" s="314"/>
      <c r="E21" s="314"/>
      <c r="F21" s="314"/>
      <c r="G21" s="314"/>
      <c r="H21" s="314"/>
      <c r="I21" s="314"/>
      <c r="J21" s="306"/>
    </row>
    <row r="22" spans="2:12">
      <c r="C22" s="305"/>
      <c r="D22" s="314"/>
      <c r="E22" s="314"/>
      <c r="F22" s="314"/>
      <c r="G22" s="314"/>
      <c r="H22" s="314"/>
      <c r="I22" s="314"/>
      <c r="J22" s="306"/>
    </row>
    <row r="23" spans="2:12">
      <c r="C23" s="307"/>
      <c r="D23" s="315"/>
      <c r="E23" s="315"/>
      <c r="F23" s="315"/>
      <c r="G23" s="315"/>
      <c r="H23" s="315"/>
      <c r="I23" s="315"/>
      <c r="J23" s="308"/>
    </row>
    <row r="25" spans="2:12">
      <c r="B25" s="68" t="s">
        <v>193</v>
      </c>
    </row>
    <row r="26" spans="2:12">
      <c r="C26" s="316" t="s">
        <v>192</v>
      </c>
      <c r="D26" s="317"/>
      <c r="E26" s="317"/>
      <c r="F26" s="317"/>
      <c r="G26" s="317"/>
      <c r="H26" s="317"/>
      <c r="I26" s="317"/>
      <c r="J26" s="318"/>
    </row>
    <row r="28" spans="2:12">
      <c r="B28" s="68" t="s">
        <v>191</v>
      </c>
    </row>
    <row r="29" spans="2:12">
      <c r="C29" s="107"/>
      <c r="D29" s="99"/>
      <c r="E29" s="99"/>
      <c r="F29" s="99"/>
      <c r="G29" s="99"/>
      <c r="H29" s="99"/>
      <c r="I29" s="99"/>
      <c r="J29" s="99"/>
      <c r="K29" s="100"/>
    </row>
    <row r="30" spans="2:12">
      <c r="C30" s="110" t="s">
        <v>205</v>
      </c>
      <c r="D30" s="97"/>
      <c r="E30" s="97"/>
      <c r="F30" s="97"/>
      <c r="G30" s="97"/>
      <c r="H30" s="97"/>
      <c r="I30" s="97"/>
      <c r="J30" s="97"/>
      <c r="K30" s="101"/>
      <c r="L30" s="16"/>
    </row>
    <row r="31" spans="2:12">
      <c r="C31" s="96"/>
      <c r="D31" s="97"/>
      <c r="E31" s="97"/>
      <c r="F31" s="97"/>
      <c r="G31" s="97"/>
      <c r="H31" s="97"/>
      <c r="I31" s="97"/>
      <c r="J31" s="97"/>
      <c r="K31" s="101"/>
      <c r="L31" s="16"/>
    </row>
    <row r="32" spans="2:12">
      <c r="C32" s="96"/>
      <c r="D32" s="97"/>
      <c r="E32" s="97"/>
      <c r="F32" s="97"/>
      <c r="G32" s="97"/>
      <c r="H32" s="97"/>
      <c r="I32" s="97"/>
      <c r="J32" s="97"/>
      <c r="K32" s="101"/>
      <c r="L32" s="16"/>
    </row>
    <row r="33" spans="3:12">
      <c r="C33" s="96"/>
      <c r="D33" s="97"/>
      <c r="E33" s="97"/>
      <c r="F33" s="97"/>
      <c r="G33" s="97"/>
      <c r="H33" s="97"/>
      <c r="I33" s="97"/>
      <c r="J33" s="97"/>
      <c r="K33" s="101"/>
      <c r="L33" s="16"/>
    </row>
    <row r="34" spans="3:12">
      <c r="C34" s="96"/>
      <c r="D34" s="97"/>
      <c r="E34" s="97"/>
      <c r="F34" s="97"/>
      <c r="G34" s="97"/>
      <c r="H34" s="97"/>
      <c r="I34" s="97"/>
      <c r="J34" s="97"/>
      <c r="K34" s="101"/>
      <c r="L34" s="16"/>
    </row>
    <row r="35" spans="3:12">
      <c r="C35" s="96"/>
      <c r="D35" s="97"/>
      <c r="E35" s="97"/>
      <c r="F35" s="97"/>
      <c r="G35" s="97"/>
      <c r="H35" s="97"/>
      <c r="I35" s="97"/>
      <c r="J35" s="97"/>
      <c r="K35" s="101"/>
      <c r="L35" s="16"/>
    </row>
    <row r="36" spans="3:12">
      <c r="C36" s="96"/>
      <c r="D36" s="97"/>
      <c r="E36" s="97"/>
      <c r="F36" s="97"/>
      <c r="G36" s="97"/>
      <c r="H36" s="97"/>
      <c r="I36" s="97"/>
      <c r="J36" s="97"/>
      <c r="K36" s="101"/>
      <c r="L36" s="16"/>
    </row>
    <row r="37" spans="3:12">
      <c r="C37" s="96"/>
      <c r="D37" s="97"/>
      <c r="E37" s="97"/>
      <c r="F37" s="97"/>
      <c r="G37" s="97"/>
      <c r="H37" s="97"/>
      <c r="I37" s="97"/>
      <c r="J37" s="97"/>
      <c r="K37" s="101"/>
      <c r="L37" s="16"/>
    </row>
    <row r="38" spans="3:12">
      <c r="C38" s="96"/>
      <c r="D38" s="97"/>
      <c r="E38" s="97"/>
      <c r="F38" s="97"/>
      <c r="G38" s="97"/>
      <c r="H38" s="97"/>
      <c r="I38" s="97"/>
      <c r="J38" s="97"/>
      <c r="K38" s="101"/>
      <c r="L38" s="16"/>
    </row>
    <row r="39" spans="3:12">
      <c r="C39" s="96"/>
      <c r="D39" s="97"/>
      <c r="E39" s="97"/>
      <c r="F39" s="97"/>
      <c r="G39" s="97"/>
      <c r="H39" s="97"/>
      <c r="I39" s="97"/>
      <c r="J39" s="97"/>
      <c r="K39" s="101"/>
      <c r="L39" s="16"/>
    </row>
    <row r="40" spans="3:12">
      <c r="C40" s="110" t="s">
        <v>204</v>
      </c>
      <c r="D40" s="97"/>
      <c r="E40" s="97"/>
      <c r="F40" s="97"/>
      <c r="G40" s="97"/>
      <c r="H40" s="97"/>
      <c r="I40" s="97"/>
      <c r="J40" s="97"/>
      <c r="K40" s="101"/>
      <c r="L40" s="16"/>
    </row>
    <row r="41" spans="3:12">
      <c r="C41" s="96"/>
      <c r="D41" s="97"/>
      <c r="E41" s="97"/>
      <c r="F41" s="97"/>
      <c r="G41" s="97"/>
      <c r="H41" s="97"/>
      <c r="I41" s="97"/>
      <c r="J41" s="97"/>
      <c r="K41" s="101"/>
      <c r="L41" s="16"/>
    </row>
    <row r="42" spans="3:12">
      <c r="C42" s="96"/>
      <c r="D42" s="97"/>
      <c r="E42" s="97"/>
      <c r="F42" s="97"/>
      <c r="G42" s="97"/>
      <c r="H42" s="97"/>
      <c r="I42" s="97"/>
      <c r="J42" s="97"/>
      <c r="K42" s="101"/>
      <c r="L42" s="16"/>
    </row>
    <row r="43" spans="3:12">
      <c r="C43" s="96"/>
      <c r="D43" s="97"/>
      <c r="E43" s="97"/>
      <c r="F43" s="97"/>
      <c r="G43" s="97"/>
      <c r="H43" s="97"/>
      <c r="I43" s="97"/>
      <c r="J43" s="97"/>
      <c r="K43" s="101"/>
      <c r="L43" s="16"/>
    </row>
    <row r="44" spans="3:12">
      <c r="C44" s="96"/>
      <c r="D44" s="97"/>
      <c r="E44" s="97"/>
      <c r="F44" s="97"/>
      <c r="G44" s="97"/>
      <c r="H44" s="97"/>
      <c r="I44" s="97"/>
      <c r="J44" s="97"/>
      <c r="K44" s="101"/>
      <c r="L44" s="16"/>
    </row>
    <row r="45" spans="3:12">
      <c r="C45" s="96"/>
      <c r="D45" s="97"/>
      <c r="E45" s="97"/>
      <c r="F45" s="97"/>
      <c r="G45" s="97"/>
      <c r="H45" s="97"/>
      <c r="I45" s="97"/>
      <c r="J45" s="97"/>
      <c r="K45" s="101"/>
      <c r="L45" s="16"/>
    </row>
    <row r="46" spans="3:12">
      <c r="C46" s="96"/>
      <c r="D46" s="97"/>
      <c r="E46" s="97"/>
      <c r="F46" s="97"/>
      <c r="G46" s="97"/>
      <c r="H46" s="97"/>
      <c r="I46" s="97"/>
      <c r="J46" s="97"/>
      <c r="K46" s="101"/>
      <c r="L46" s="16"/>
    </row>
    <row r="47" spans="3:12">
      <c r="C47" s="96"/>
      <c r="D47" s="97"/>
      <c r="E47" s="97"/>
      <c r="F47" s="97"/>
      <c r="G47" s="97"/>
      <c r="H47" s="97"/>
      <c r="I47" s="97"/>
      <c r="J47" s="97"/>
      <c r="K47" s="101"/>
      <c r="L47" s="16"/>
    </row>
    <row r="48" spans="3:12">
      <c r="C48" s="96"/>
      <c r="D48" s="97"/>
      <c r="E48" s="97"/>
      <c r="F48" s="97"/>
      <c r="G48" s="97"/>
      <c r="H48" s="97"/>
      <c r="I48" s="97"/>
      <c r="J48" s="97"/>
      <c r="K48" s="101"/>
      <c r="L48" s="16"/>
    </row>
    <row r="49" spans="3:12">
      <c r="C49" s="96"/>
      <c r="D49" s="97"/>
      <c r="E49" s="97"/>
      <c r="F49" s="97"/>
      <c r="G49" s="97"/>
      <c r="H49" s="97"/>
      <c r="I49" s="97"/>
      <c r="J49" s="97"/>
      <c r="K49" s="101"/>
      <c r="L49" s="16"/>
    </row>
    <row r="50" spans="3:12">
      <c r="C50" s="96"/>
      <c r="D50" s="97"/>
      <c r="E50" s="97"/>
      <c r="F50" s="97"/>
      <c r="G50" s="97"/>
      <c r="H50" s="97"/>
      <c r="I50" s="97"/>
      <c r="J50" s="97"/>
      <c r="K50" s="101"/>
      <c r="L50" s="16"/>
    </row>
    <row r="51" spans="3:12">
      <c r="C51" s="96"/>
      <c r="D51" s="97"/>
      <c r="E51" s="97"/>
      <c r="F51" s="97"/>
      <c r="G51" s="97"/>
      <c r="H51" s="97"/>
      <c r="I51" s="97"/>
      <c r="J51" s="97"/>
      <c r="K51" s="101"/>
      <c r="L51" s="16"/>
    </row>
    <row r="52" spans="3:12">
      <c r="C52" s="96"/>
      <c r="D52" s="97"/>
      <c r="E52" s="97"/>
      <c r="F52" s="97"/>
      <c r="G52" s="97"/>
      <c r="H52" s="97"/>
      <c r="I52" s="97"/>
      <c r="J52" s="97"/>
      <c r="K52" s="101"/>
      <c r="L52" s="16"/>
    </row>
    <row r="53" spans="3:12">
      <c r="C53" s="96"/>
      <c r="D53" s="97"/>
      <c r="E53" s="97"/>
      <c r="F53" s="97"/>
      <c r="G53" s="97"/>
      <c r="H53" s="97"/>
      <c r="I53" s="97"/>
      <c r="J53" s="97"/>
      <c r="K53" s="101"/>
      <c r="L53" s="16"/>
    </row>
    <row r="54" spans="3:12">
      <c r="C54" s="96"/>
      <c r="D54" s="97"/>
      <c r="E54" s="97"/>
      <c r="F54" s="97"/>
      <c r="G54" s="97"/>
      <c r="H54" s="97"/>
      <c r="I54" s="97"/>
      <c r="J54" s="97"/>
      <c r="K54" s="101"/>
      <c r="L54" s="16"/>
    </row>
    <row r="55" spans="3:12">
      <c r="C55" s="96"/>
      <c r="D55" s="97"/>
      <c r="E55" s="97"/>
      <c r="F55" s="97"/>
      <c r="G55" s="97"/>
      <c r="H55" s="97"/>
      <c r="I55" s="97"/>
      <c r="J55" s="97"/>
      <c r="K55" s="101"/>
      <c r="L55" s="16"/>
    </row>
    <row r="56" spans="3:12">
      <c r="C56" s="96"/>
      <c r="D56" s="97"/>
      <c r="E56" s="97"/>
      <c r="F56" s="97"/>
      <c r="G56" s="97"/>
      <c r="H56" s="97"/>
      <c r="I56" s="97"/>
      <c r="J56" s="97"/>
      <c r="K56" s="101"/>
      <c r="L56" s="16"/>
    </row>
    <row r="57" spans="3:12">
      <c r="C57" s="96"/>
      <c r="D57" s="97"/>
      <c r="E57" s="97"/>
      <c r="F57" s="97"/>
      <c r="G57" s="97"/>
      <c r="H57" s="97"/>
      <c r="I57" s="97"/>
      <c r="J57" s="97"/>
      <c r="K57" s="101"/>
      <c r="L57" s="16"/>
    </row>
    <row r="58" spans="3:12">
      <c r="C58" s="96"/>
      <c r="D58" s="97"/>
      <c r="E58" s="97"/>
      <c r="F58" s="97"/>
      <c r="G58" s="97"/>
      <c r="H58" s="97"/>
      <c r="I58" s="97"/>
      <c r="J58" s="97"/>
      <c r="K58" s="101"/>
      <c r="L58" s="16"/>
    </row>
    <row r="59" spans="3:12">
      <c r="C59" s="96"/>
      <c r="D59" s="97"/>
      <c r="E59" s="97"/>
      <c r="F59" s="97"/>
      <c r="G59" s="97"/>
      <c r="H59" s="97"/>
      <c r="I59" s="97"/>
      <c r="J59" s="97"/>
      <c r="K59" s="101"/>
      <c r="L59" s="16"/>
    </row>
    <row r="60" spans="3:12">
      <c r="C60" s="110" t="s">
        <v>206</v>
      </c>
      <c r="D60" s="97"/>
      <c r="E60" s="97"/>
      <c r="F60" s="97"/>
      <c r="G60" s="97"/>
      <c r="H60" s="97"/>
      <c r="I60" s="97"/>
      <c r="J60" s="97"/>
      <c r="K60" s="101"/>
      <c r="L60" s="16"/>
    </row>
    <row r="61" spans="3:12">
      <c r="C61" s="96"/>
      <c r="D61" s="97"/>
      <c r="E61" s="97"/>
      <c r="F61" s="97"/>
      <c r="G61" s="97"/>
      <c r="H61" s="97"/>
      <c r="I61" s="97"/>
      <c r="J61" s="97"/>
      <c r="K61" s="101"/>
      <c r="L61" s="16"/>
    </row>
    <row r="62" spans="3:12">
      <c r="C62" s="96"/>
      <c r="D62" s="97"/>
      <c r="E62" s="97"/>
      <c r="F62" s="97"/>
      <c r="G62" s="97"/>
      <c r="H62" s="97"/>
      <c r="I62" s="97"/>
      <c r="J62" s="97"/>
      <c r="K62" s="101"/>
      <c r="L62" s="16"/>
    </row>
    <row r="63" spans="3:12">
      <c r="C63" s="96"/>
      <c r="D63" s="97"/>
      <c r="E63" s="97"/>
      <c r="F63" s="97"/>
      <c r="G63" s="97"/>
      <c r="H63" s="97"/>
      <c r="I63" s="97"/>
      <c r="J63" s="97"/>
      <c r="K63" s="101"/>
      <c r="L63" s="16"/>
    </row>
    <row r="64" spans="3:12">
      <c r="C64" s="103"/>
      <c r="D64" s="97"/>
      <c r="E64" s="97"/>
      <c r="F64" s="97"/>
      <c r="G64" s="97"/>
      <c r="H64" s="97"/>
      <c r="I64" s="97"/>
      <c r="J64" s="97"/>
      <c r="K64" s="101"/>
      <c r="L64" s="16"/>
    </row>
    <row r="65" spans="3:12">
      <c r="C65" s="96"/>
      <c r="D65" s="97"/>
      <c r="E65" s="97"/>
      <c r="F65" s="97"/>
      <c r="G65" s="97"/>
      <c r="H65" s="97"/>
      <c r="I65" s="97"/>
      <c r="J65" s="97"/>
      <c r="K65" s="101"/>
      <c r="L65" s="16"/>
    </row>
    <row r="66" spans="3:12">
      <c r="C66" s="96"/>
      <c r="D66" s="97"/>
      <c r="E66" s="97"/>
      <c r="F66" s="97"/>
      <c r="G66" s="97"/>
      <c r="H66" s="97"/>
      <c r="I66" s="97"/>
      <c r="J66" s="97"/>
      <c r="K66" s="101"/>
      <c r="L66" s="16"/>
    </row>
    <row r="67" spans="3:12">
      <c r="C67" s="96"/>
      <c r="D67" s="97"/>
      <c r="E67" s="97"/>
      <c r="F67" s="97"/>
      <c r="G67" s="97"/>
      <c r="H67" s="97"/>
      <c r="I67" s="97"/>
      <c r="J67" s="97"/>
      <c r="K67" s="101"/>
      <c r="L67" s="16"/>
    </row>
    <row r="68" spans="3:12">
      <c r="C68" s="96"/>
      <c r="D68" s="97"/>
      <c r="E68" s="97"/>
      <c r="F68" s="97"/>
      <c r="G68" s="97"/>
      <c r="H68" s="97"/>
      <c r="I68" s="97"/>
      <c r="J68" s="97"/>
      <c r="K68" s="101"/>
      <c r="L68" s="16"/>
    </row>
    <row r="69" spans="3:12">
      <c r="C69" s="96"/>
      <c r="D69" s="97"/>
      <c r="E69" s="97"/>
      <c r="F69" s="97"/>
      <c r="G69" s="97"/>
      <c r="H69" s="97"/>
      <c r="I69" s="97"/>
      <c r="J69" s="97"/>
      <c r="K69" s="101"/>
      <c r="L69" s="16"/>
    </row>
    <row r="70" spans="3:12">
      <c r="C70" s="96"/>
      <c r="D70" s="97"/>
      <c r="E70" s="97"/>
      <c r="F70" s="97"/>
      <c r="G70" s="97"/>
      <c r="H70" s="97"/>
      <c r="I70" s="97"/>
      <c r="J70" s="97"/>
      <c r="K70" s="101"/>
      <c r="L70" s="16"/>
    </row>
    <row r="71" spans="3:12">
      <c r="C71" s="96"/>
      <c r="D71" s="97"/>
      <c r="E71" s="97"/>
      <c r="F71" s="97"/>
      <c r="G71" s="97"/>
      <c r="H71" s="97"/>
      <c r="I71" s="97"/>
      <c r="J71" s="97"/>
      <c r="K71" s="101"/>
      <c r="L71" s="16"/>
    </row>
    <row r="72" spans="3:12">
      <c r="C72" s="96"/>
      <c r="D72" s="97"/>
      <c r="E72" s="97"/>
      <c r="F72" s="97"/>
      <c r="G72" s="97"/>
      <c r="H72" s="97"/>
      <c r="I72" s="97"/>
      <c r="J72" s="97"/>
      <c r="K72" s="101"/>
      <c r="L72" s="16"/>
    </row>
    <row r="73" spans="3:12">
      <c r="C73" s="96"/>
      <c r="D73" s="97"/>
      <c r="E73" s="97"/>
      <c r="F73" s="97"/>
      <c r="G73" s="97"/>
      <c r="H73" s="97"/>
      <c r="I73" s="97"/>
      <c r="J73" s="97"/>
      <c r="K73" s="101"/>
      <c r="L73" s="16"/>
    </row>
    <row r="74" spans="3:12">
      <c r="C74" s="96"/>
      <c r="D74" s="97"/>
      <c r="E74" s="97"/>
      <c r="F74" s="97"/>
      <c r="G74" s="97"/>
      <c r="H74" s="97"/>
      <c r="I74" s="97"/>
      <c r="J74" s="97"/>
      <c r="K74" s="101"/>
      <c r="L74" s="16"/>
    </row>
    <row r="75" spans="3:12">
      <c r="C75" s="96"/>
      <c r="D75" s="97"/>
      <c r="E75" s="97"/>
      <c r="F75" s="97"/>
      <c r="G75" s="97"/>
      <c r="H75" s="97"/>
      <c r="I75" s="97"/>
      <c r="J75" s="97"/>
      <c r="K75" s="101"/>
      <c r="L75" s="16"/>
    </row>
    <row r="76" spans="3:12">
      <c r="C76" s="96"/>
      <c r="D76" s="97"/>
      <c r="E76" s="97"/>
      <c r="F76" s="97"/>
      <c r="G76" s="97"/>
      <c r="H76" s="97"/>
      <c r="I76" s="97"/>
      <c r="J76" s="97"/>
      <c r="K76" s="101"/>
      <c r="L76" s="16"/>
    </row>
    <row r="77" spans="3:12">
      <c r="C77" s="96"/>
      <c r="D77" s="97"/>
      <c r="E77" s="97"/>
      <c r="F77" s="97"/>
      <c r="G77" s="97"/>
      <c r="H77" s="97"/>
      <c r="I77" s="97"/>
      <c r="J77" s="97"/>
      <c r="K77" s="101"/>
      <c r="L77" s="16"/>
    </row>
    <row r="78" spans="3:12">
      <c r="C78" s="96"/>
      <c r="D78" s="97"/>
      <c r="E78" s="97"/>
      <c r="F78" s="97"/>
      <c r="G78" s="97"/>
      <c r="H78" s="97"/>
      <c r="I78" s="97"/>
      <c r="J78" s="97"/>
      <c r="K78" s="101"/>
      <c r="L78" s="16"/>
    </row>
    <row r="79" spans="3:12">
      <c r="C79" s="96"/>
      <c r="D79" s="97"/>
      <c r="E79" s="97"/>
      <c r="F79" s="97"/>
      <c r="G79" s="97"/>
      <c r="H79" s="97"/>
      <c r="I79" s="97"/>
      <c r="J79" s="97"/>
      <c r="K79" s="101"/>
      <c r="L79" s="16"/>
    </row>
    <row r="80" spans="3:12">
      <c r="C80" s="96"/>
      <c r="D80" s="97"/>
      <c r="E80" s="97"/>
      <c r="F80" s="97"/>
      <c r="G80" s="97"/>
      <c r="H80" s="97"/>
      <c r="I80" s="97"/>
      <c r="J80" s="97"/>
      <c r="K80" s="101"/>
      <c r="L80" s="16"/>
    </row>
    <row r="81" spans="3:12">
      <c r="C81" s="96"/>
      <c r="D81" s="97"/>
      <c r="E81" s="97"/>
      <c r="F81" s="97"/>
      <c r="G81" s="97"/>
      <c r="H81" s="97"/>
      <c r="I81" s="97"/>
      <c r="J81" s="97"/>
      <c r="K81" s="101"/>
      <c r="L81" s="16"/>
    </row>
    <row r="82" spans="3:12">
      <c r="C82" s="96"/>
      <c r="D82" s="97"/>
      <c r="E82" s="97"/>
      <c r="F82" s="97"/>
      <c r="G82" s="97"/>
      <c r="H82" s="97"/>
      <c r="I82" s="97"/>
      <c r="J82" s="97"/>
      <c r="K82" s="101"/>
      <c r="L82" s="16"/>
    </row>
    <row r="83" spans="3:12">
      <c r="C83" s="96"/>
      <c r="D83" s="97"/>
      <c r="E83" s="97"/>
      <c r="F83" s="97"/>
      <c r="G83" s="97"/>
      <c r="H83" s="97"/>
      <c r="I83" s="97"/>
      <c r="J83" s="97"/>
      <c r="K83" s="101"/>
      <c r="L83" s="16"/>
    </row>
    <row r="84" spans="3:12">
      <c r="C84" s="96"/>
      <c r="D84" s="97"/>
      <c r="E84" s="97"/>
      <c r="F84" s="97"/>
      <c r="G84" s="97"/>
      <c r="H84" s="97"/>
      <c r="I84" s="97"/>
      <c r="J84" s="97"/>
      <c r="K84" s="101"/>
      <c r="L84" s="16"/>
    </row>
    <row r="85" spans="3:12">
      <c r="C85" s="96"/>
      <c r="D85" s="97"/>
      <c r="E85" s="97"/>
      <c r="F85" s="97"/>
      <c r="G85" s="97"/>
      <c r="H85" s="97"/>
      <c r="I85" s="97"/>
      <c r="J85" s="97"/>
      <c r="K85" s="101"/>
      <c r="L85" s="16"/>
    </row>
    <row r="86" spans="3:12">
      <c r="C86" s="96"/>
      <c r="D86" s="97"/>
      <c r="E86" s="97"/>
      <c r="F86" s="97"/>
      <c r="G86" s="97"/>
      <c r="H86" s="97"/>
      <c r="I86" s="97"/>
      <c r="J86" s="97"/>
      <c r="K86" s="101"/>
      <c r="L86" s="16"/>
    </row>
    <row r="87" spans="3:12">
      <c r="C87" s="110" t="s">
        <v>207</v>
      </c>
      <c r="D87" s="97"/>
      <c r="E87" s="97"/>
      <c r="F87" s="97"/>
      <c r="G87" s="97"/>
      <c r="H87" s="97"/>
      <c r="I87" s="97"/>
      <c r="J87" s="97"/>
      <c r="K87" s="101"/>
      <c r="L87" s="16"/>
    </row>
    <row r="88" spans="3:12">
      <c r="C88" s="96"/>
      <c r="D88" s="97"/>
      <c r="E88" s="97"/>
      <c r="F88" s="97"/>
      <c r="G88" s="97"/>
      <c r="H88" s="97"/>
      <c r="I88" s="97"/>
      <c r="J88" s="97"/>
      <c r="K88" s="101"/>
      <c r="L88" s="16"/>
    </row>
    <row r="89" spans="3:12">
      <c r="C89" s="103"/>
      <c r="D89" s="97"/>
      <c r="E89" s="97"/>
      <c r="F89" s="97"/>
      <c r="G89" s="97"/>
      <c r="H89" s="97"/>
      <c r="I89" s="97"/>
      <c r="J89" s="97"/>
      <c r="K89" s="101"/>
      <c r="L89" s="16"/>
    </row>
    <row r="90" spans="3:12">
      <c r="C90" s="96"/>
      <c r="D90" s="97"/>
      <c r="E90" s="97"/>
      <c r="F90" s="97"/>
      <c r="G90" s="97"/>
      <c r="H90" s="97"/>
      <c r="I90" s="97"/>
      <c r="J90" s="97"/>
      <c r="K90" s="101"/>
      <c r="L90" s="16"/>
    </row>
    <row r="91" spans="3:12">
      <c r="C91" s="96"/>
      <c r="D91" s="97"/>
      <c r="E91" s="97"/>
      <c r="F91" s="97"/>
      <c r="G91" s="97"/>
      <c r="H91" s="97"/>
      <c r="I91" s="97"/>
      <c r="J91" s="97"/>
      <c r="K91" s="101"/>
      <c r="L91" s="16"/>
    </row>
    <row r="92" spans="3:12">
      <c r="C92" s="96"/>
      <c r="D92" s="97"/>
      <c r="E92" s="97"/>
      <c r="F92" s="97"/>
      <c r="G92" s="97"/>
      <c r="H92" s="97"/>
      <c r="I92" s="97"/>
      <c r="J92" s="97"/>
      <c r="K92" s="101"/>
      <c r="L92" s="16"/>
    </row>
    <row r="93" spans="3:12">
      <c r="C93" s="96"/>
      <c r="D93" s="97"/>
      <c r="E93" s="97"/>
      <c r="F93" s="97"/>
      <c r="G93" s="97"/>
      <c r="H93" s="97"/>
      <c r="I93" s="97"/>
      <c r="J93" s="97"/>
      <c r="K93" s="101"/>
      <c r="L93" s="16"/>
    </row>
    <row r="94" spans="3:12">
      <c r="C94" s="96"/>
      <c r="D94" s="97"/>
      <c r="E94" s="97"/>
      <c r="F94" s="97"/>
      <c r="G94" s="97"/>
      <c r="H94" s="97"/>
      <c r="I94" s="97"/>
      <c r="J94" s="97"/>
      <c r="K94" s="101"/>
      <c r="L94" s="16"/>
    </row>
    <row r="95" spans="3:12">
      <c r="C95" s="96"/>
      <c r="D95" s="97"/>
      <c r="E95" s="97"/>
      <c r="F95" s="97"/>
      <c r="G95" s="97"/>
      <c r="H95" s="97"/>
      <c r="I95" s="97"/>
      <c r="J95" s="97"/>
      <c r="K95" s="101"/>
      <c r="L95" s="16"/>
    </row>
    <row r="96" spans="3:12">
      <c r="C96" s="96"/>
      <c r="D96" s="97"/>
      <c r="E96" s="97"/>
      <c r="F96" s="97"/>
      <c r="G96" s="97"/>
      <c r="H96" s="97"/>
      <c r="I96" s="97"/>
      <c r="J96" s="97"/>
      <c r="K96" s="101"/>
      <c r="L96" s="16"/>
    </row>
    <row r="97" spans="3:12">
      <c r="C97" s="96"/>
      <c r="D97" s="97"/>
      <c r="E97" s="97"/>
      <c r="F97" s="97"/>
      <c r="G97" s="97"/>
      <c r="H97" s="97"/>
      <c r="I97" s="97"/>
      <c r="J97" s="97"/>
      <c r="K97" s="101"/>
      <c r="L97" s="16"/>
    </row>
    <row r="98" spans="3:12">
      <c r="C98" s="96"/>
      <c r="D98" s="97"/>
      <c r="E98" s="97"/>
      <c r="F98" s="97"/>
      <c r="G98" s="97"/>
      <c r="H98" s="97"/>
      <c r="I98" s="97"/>
      <c r="J98" s="97"/>
      <c r="K98" s="101"/>
      <c r="L98" s="16"/>
    </row>
    <row r="99" spans="3:12">
      <c r="C99" s="96"/>
      <c r="D99" s="97"/>
      <c r="E99" s="97"/>
      <c r="F99" s="97"/>
      <c r="G99" s="97"/>
      <c r="H99" s="97"/>
      <c r="I99" s="97"/>
      <c r="J99" s="97"/>
      <c r="K99" s="101"/>
      <c r="L99" s="16"/>
    </row>
    <row r="100" spans="3:12">
      <c r="C100" s="96"/>
      <c r="D100" s="97"/>
      <c r="E100" s="97"/>
      <c r="F100" s="97"/>
      <c r="G100" s="97"/>
      <c r="H100" s="97"/>
      <c r="I100" s="97"/>
      <c r="J100" s="97"/>
      <c r="K100" s="101"/>
      <c r="L100" s="16"/>
    </row>
    <row r="101" spans="3:12">
      <c r="C101" s="96"/>
      <c r="D101" s="97"/>
      <c r="E101" s="97"/>
      <c r="F101" s="97"/>
      <c r="G101" s="97"/>
      <c r="H101" s="97"/>
      <c r="I101" s="97"/>
      <c r="J101" s="97"/>
      <c r="K101" s="101"/>
      <c r="L101" s="16"/>
    </row>
    <row r="102" spans="3:12">
      <c r="C102" s="96"/>
      <c r="D102" s="97"/>
      <c r="E102" s="97"/>
      <c r="F102" s="97"/>
      <c r="G102" s="97"/>
      <c r="H102" s="97"/>
      <c r="I102" s="97"/>
      <c r="J102" s="97"/>
      <c r="K102" s="101"/>
      <c r="L102" s="16"/>
    </row>
    <row r="103" spans="3:12">
      <c r="C103" s="96"/>
      <c r="D103" s="97"/>
      <c r="E103" s="97"/>
      <c r="F103" s="97"/>
      <c r="G103" s="97"/>
      <c r="H103" s="97"/>
      <c r="I103" s="97"/>
      <c r="J103" s="97"/>
      <c r="K103" s="101"/>
      <c r="L103" s="16"/>
    </row>
    <row r="104" spans="3:12">
      <c r="C104" s="96"/>
      <c r="D104" s="97"/>
      <c r="E104" s="97"/>
      <c r="F104" s="97"/>
      <c r="G104" s="97"/>
      <c r="H104" s="97"/>
      <c r="I104" s="97"/>
      <c r="J104" s="97"/>
      <c r="K104" s="101"/>
      <c r="L104" s="16"/>
    </row>
    <row r="105" spans="3:12">
      <c r="C105" s="96"/>
      <c r="D105" s="97"/>
      <c r="E105" s="97"/>
      <c r="F105" s="97"/>
      <c r="G105" s="97"/>
      <c r="H105" s="97"/>
      <c r="I105" s="97"/>
      <c r="J105" s="97"/>
      <c r="K105" s="101"/>
      <c r="L105" s="16"/>
    </row>
    <row r="106" spans="3:12">
      <c r="C106" s="96"/>
      <c r="D106" s="97"/>
      <c r="E106" s="97"/>
      <c r="F106" s="97"/>
      <c r="G106" s="97"/>
      <c r="H106" s="97"/>
      <c r="I106" s="97"/>
      <c r="J106" s="97"/>
      <c r="K106" s="101"/>
      <c r="L106" s="16"/>
    </row>
    <row r="107" spans="3:12">
      <c r="C107" s="96"/>
      <c r="D107" s="97"/>
      <c r="E107" s="97"/>
      <c r="F107" s="97"/>
      <c r="G107" s="97"/>
      <c r="H107" s="97"/>
      <c r="I107" s="97"/>
      <c r="J107" s="97"/>
      <c r="K107" s="101"/>
      <c r="L107" s="16"/>
    </row>
    <row r="108" spans="3:12">
      <c r="C108" s="96"/>
      <c r="D108" s="97"/>
      <c r="E108" s="97"/>
      <c r="F108" s="97"/>
      <c r="G108" s="97"/>
      <c r="H108" s="97"/>
      <c r="I108" s="97"/>
      <c r="J108" s="97"/>
      <c r="K108" s="101"/>
      <c r="L108" s="16"/>
    </row>
    <row r="109" spans="3:12">
      <c r="C109" s="96"/>
      <c r="D109" s="97"/>
      <c r="E109" s="97"/>
      <c r="F109" s="97"/>
      <c r="G109" s="97"/>
      <c r="H109" s="97"/>
      <c r="I109" s="97"/>
      <c r="J109" s="97"/>
      <c r="K109" s="101"/>
      <c r="L109" s="16"/>
    </row>
    <row r="110" spans="3:12">
      <c r="C110" s="110" t="s">
        <v>208</v>
      </c>
      <c r="D110" s="97"/>
      <c r="E110" s="97"/>
      <c r="F110" s="97"/>
      <c r="G110" s="97"/>
      <c r="H110" s="97"/>
      <c r="I110" s="97"/>
      <c r="J110" s="97"/>
      <c r="K110" s="101"/>
      <c r="L110" s="16"/>
    </row>
    <row r="111" spans="3:12">
      <c r="C111" s="96"/>
      <c r="D111" s="97"/>
      <c r="E111" s="97"/>
      <c r="F111" s="97"/>
      <c r="G111" s="97"/>
      <c r="H111" s="97"/>
      <c r="I111" s="97"/>
      <c r="J111" s="97"/>
      <c r="K111" s="101"/>
      <c r="L111" s="16"/>
    </row>
    <row r="112" spans="3:12">
      <c r="C112" s="103"/>
      <c r="D112" s="97"/>
      <c r="E112" s="97"/>
      <c r="F112" s="97"/>
      <c r="G112" s="97"/>
      <c r="H112" s="97"/>
      <c r="I112" s="97"/>
      <c r="J112" s="97"/>
      <c r="K112" s="101"/>
      <c r="L112" s="16"/>
    </row>
    <row r="113" spans="3:12">
      <c r="C113" s="96"/>
      <c r="D113" s="97"/>
      <c r="E113" s="97"/>
      <c r="F113" s="97"/>
      <c r="G113" s="97"/>
      <c r="H113" s="97"/>
      <c r="I113" s="97"/>
      <c r="J113" s="97"/>
      <c r="K113" s="101"/>
      <c r="L113" s="16"/>
    </row>
    <row r="114" spans="3:12">
      <c r="C114" s="96"/>
      <c r="D114" s="97"/>
      <c r="E114" s="97"/>
      <c r="F114" s="97"/>
      <c r="G114" s="97"/>
      <c r="H114" s="97"/>
      <c r="I114" s="97"/>
      <c r="J114" s="97"/>
      <c r="K114" s="101"/>
      <c r="L114" s="16"/>
    </row>
    <row r="115" spans="3:12">
      <c r="C115" s="96"/>
      <c r="D115" s="97"/>
      <c r="E115" s="97"/>
      <c r="F115" s="97"/>
      <c r="G115" s="97"/>
      <c r="H115" s="97"/>
      <c r="I115" s="97"/>
      <c r="J115" s="97"/>
      <c r="K115" s="101"/>
      <c r="L115" s="16"/>
    </row>
    <row r="116" spans="3:12">
      <c r="C116" s="96"/>
      <c r="D116" s="97"/>
      <c r="E116" s="97"/>
      <c r="F116" s="97"/>
      <c r="G116" s="97"/>
      <c r="H116" s="97"/>
      <c r="I116" s="97"/>
      <c r="J116" s="97"/>
      <c r="K116" s="101"/>
      <c r="L116" s="16"/>
    </row>
    <row r="117" spans="3:12">
      <c r="C117" s="96"/>
      <c r="D117" s="97"/>
      <c r="E117" s="97"/>
      <c r="F117" s="97"/>
      <c r="G117" s="97"/>
      <c r="H117" s="97"/>
      <c r="I117" s="97"/>
      <c r="J117" s="97"/>
      <c r="K117" s="101"/>
      <c r="L117" s="16"/>
    </row>
    <row r="118" spans="3:12">
      <c r="C118" s="96"/>
      <c r="D118" s="97"/>
      <c r="E118" s="97"/>
      <c r="F118" s="97"/>
      <c r="G118" s="97"/>
      <c r="H118" s="97"/>
      <c r="I118" s="97"/>
      <c r="J118" s="97"/>
      <c r="K118" s="101"/>
      <c r="L118" s="16"/>
    </row>
    <row r="119" spans="3:12">
      <c r="C119" s="96"/>
      <c r="D119" s="97"/>
      <c r="E119" s="97"/>
      <c r="F119" s="97"/>
      <c r="G119" s="97"/>
      <c r="H119" s="97"/>
      <c r="I119" s="97"/>
      <c r="J119" s="97"/>
      <c r="K119" s="101"/>
      <c r="L119" s="16"/>
    </row>
    <row r="120" spans="3:12">
      <c r="C120" s="96"/>
      <c r="D120" s="97"/>
      <c r="E120" s="97"/>
      <c r="F120" s="97"/>
      <c r="G120" s="97"/>
      <c r="H120" s="97"/>
      <c r="I120" s="97"/>
      <c r="J120" s="97"/>
      <c r="K120" s="101"/>
      <c r="L120" s="16"/>
    </row>
    <row r="121" spans="3:12">
      <c r="C121" s="96"/>
      <c r="D121" s="97"/>
      <c r="E121" s="97"/>
      <c r="F121" s="97"/>
      <c r="G121" s="97"/>
      <c r="H121" s="97"/>
      <c r="I121" s="97"/>
      <c r="J121" s="97"/>
      <c r="K121" s="101"/>
      <c r="L121" s="16"/>
    </row>
    <row r="122" spans="3:12">
      <c r="C122" s="96"/>
      <c r="D122" s="97"/>
      <c r="E122" s="97"/>
      <c r="F122" s="97"/>
      <c r="G122" s="97"/>
      <c r="H122" s="97"/>
      <c r="I122" s="97"/>
      <c r="J122" s="97"/>
      <c r="K122" s="101"/>
      <c r="L122" s="16"/>
    </row>
    <row r="123" spans="3:12">
      <c r="C123" s="96"/>
      <c r="D123" s="97"/>
      <c r="E123" s="97"/>
      <c r="F123" s="97"/>
      <c r="G123" s="97"/>
      <c r="H123" s="97"/>
      <c r="I123" s="97"/>
      <c r="J123" s="97"/>
      <c r="K123" s="101"/>
      <c r="L123" s="16"/>
    </row>
    <row r="124" spans="3:12">
      <c r="C124" s="96"/>
      <c r="D124" s="97"/>
      <c r="E124" s="97"/>
      <c r="F124" s="97"/>
      <c r="G124" s="97"/>
      <c r="H124" s="97"/>
      <c r="I124" s="97"/>
      <c r="J124" s="97"/>
      <c r="K124" s="101"/>
      <c r="L124" s="16"/>
    </row>
    <row r="125" spans="3:12">
      <c r="C125" s="96"/>
      <c r="D125" s="97"/>
      <c r="E125" s="97"/>
      <c r="F125" s="97"/>
      <c r="G125" s="97"/>
      <c r="H125" s="97"/>
      <c r="I125" s="97"/>
      <c r="J125" s="97"/>
      <c r="K125" s="101"/>
      <c r="L125" s="16"/>
    </row>
    <row r="126" spans="3:12">
      <c r="C126" s="96"/>
      <c r="D126" s="97"/>
      <c r="E126" s="97"/>
      <c r="F126" s="97"/>
      <c r="G126" s="97"/>
      <c r="H126" s="97"/>
      <c r="I126" s="97"/>
      <c r="J126" s="97"/>
      <c r="K126" s="101"/>
      <c r="L126" s="16"/>
    </row>
    <row r="127" spans="3:12">
      <c r="C127" s="96"/>
      <c r="D127" s="97"/>
      <c r="E127" s="97"/>
      <c r="F127" s="97"/>
      <c r="G127" s="97"/>
      <c r="H127" s="97"/>
      <c r="I127" s="97"/>
      <c r="J127" s="97"/>
      <c r="K127" s="101"/>
      <c r="L127" s="16"/>
    </row>
    <row r="128" spans="3:12">
      <c r="C128" s="96"/>
      <c r="D128" s="97"/>
      <c r="E128" s="97"/>
      <c r="F128" s="97"/>
      <c r="G128" s="97"/>
      <c r="H128" s="97"/>
      <c r="I128" s="97"/>
      <c r="J128" s="97"/>
      <c r="K128" s="101"/>
      <c r="L128" s="16"/>
    </row>
    <row r="129" spans="3:12">
      <c r="C129" s="96"/>
      <c r="D129" s="97"/>
      <c r="E129" s="97"/>
      <c r="F129" s="97"/>
      <c r="G129" s="97"/>
      <c r="H129" s="97"/>
      <c r="I129" s="97"/>
      <c r="J129" s="97"/>
      <c r="K129" s="101"/>
      <c r="L129" s="16"/>
    </row>
    <row r="130" spans="3:12">
      <c r="C130" s="96"/>
      <c r="D130" s="97"/>
      <c r="E130" s="97"/>
      <c r="F130" s="97"/>
      <c r="G130" s="97"/>
      <c r="H130" s="97"/>
      <c r="I130" s="97"/>
      <c r="J130" s="97"/>
      <c r="K130" s="101"/>
      <c r="L130" s="16"/>
    </row>
    <row r="131" spans="3:12">
      <c r="C131" s="96"/>
      <c r="D131" s="97"/>
      <c r="E131" s="97"/>
      <c r="F131" s="97"/>
      <c r="G131" s="97"/>
      <c r="H131" s="97"/>
      <c r="I131" s="97"/>
      <c r="J131" s="97"/>
      <c r="K131" s="101"/>
      <c r="L131" s="16"/>
    </row>
    <row r="132" spans="3:12">
      <c r="C132" s="110" t="s">
        <v>209</v>
      </c>
      <c r="D132" s="97"/>
      <c r="E132" s="97"/>
      <c r="F132" s="97"/>
      <c r="G132" s="97"/>
      <c r="H132" s="97"/>
      <c r="I132" s="97"/>
      <c r="J132" s="97"/>
      <c r="K132" s="101"/>
      <c r="L132" s="16"/>
    </row>
    <row r="133" spans="3:12">
      <c r="C133" s="96"/>
      <c r="D133" s="97"/>
      <c r="E133" s="97"/>
      <c r="F133" s="97"/>
      <c r="G133" s="97"/>
      <c r="H133" s="97"/>
      <c r="I133" s="97"/>
      <c r="J133" s="97"/>
      <c r="K133" s="101"/>
      <c r="L133" s="16"/>
    </row>
    <row r="134" spans="3:12">
      <c r="C134" s="103"/>
      <c r="D134" s="97"/>
      <c r="E134" s="97"/>
      <c r="F134" s="97"/>
      <c r="G134" s="97"/>
      <c r="H134" s="97"/>
      <c r="I134" s="97"/>
      <c r="J134" s="97"/>
      <c r="K134" s="101"/>
      <c r="L134" s="16"/>
    </row>
    <row r="135" spans="3:12">
      <c r="C135" s="96"/>
      <c r="D135" s="97"/>
      <c r="E135" s="97"/>
      <c r="F135" s="97"/>
      <c r="G135" s="97"/>
      <c r="H135" s="97"/>
      <c r="I135" s="97"/>
      <c r="J135" s="97"/>
      <c r="K135" s="101"/>
      <c r="L135" s="16"/>
    </row>
    <row r="136" spans="3:12">
      <c r="C136" s="96"/>
      <c r="D136" s="97"/>
      <c r="E136" s="97"/>
      <c r="F136" s="97"/>
      <c r="G136" s="97"/>
      <c r="H136" s="97"/>
      <c r="I136" s="97"/>
      <c r="J136" s="97"/>
      <c r="K136" s="101"/>
      <c r="L136" s="16"/>
    </row>
    <row r="137" spans="3:12">
      <c r="C137" s="96"/>
      <c r="D137" s="97"/>
      <c r="E137" s="97"/>
      <c r="F137" s="97"/>
      <c r="G137" s="97"/>
      <c r="H137" s="97"/>
      <c r="I137" s="97"/>
      <c r="J137" s="97"/>
      <c r="K137" s="101"/>
      <c r="L137" s="16"/>
    </row>
    <row r="138" spans="3:12">
      <c r="C138" s="96"/>
      <c r="D138" s="97"/>
      <c r="E138" s="97"/>
      <c r="F138" s="97"/>
      <c r="G138" s="97"/>
      <c r="H138" s="97"/>
      <c r="I138" s="97"/>
      <c r="J138" s="97"/>
      <c r="K138" s="101"/>
      <c r="L138" s="16"/>
    </row>
    <row r="139" spans="3:12">
      <c r="C139" s="96"/>
      <c r="D139" s="97"/>
      <c r="E139" s="97"/>
      <c r="F139" s="97"/>
      <c r="G139" s="97"/>
      <c r="H139" s="97"/>
      <c r="I139" s="97"/>
      <c r="J139" s="97"/>
      <c r="K139" s="101"/>
      <c r="L139" s="16"/>
    </row>
    <row r="140" spans="3:12">
      <c r="C140" s="96"/>
      <c r="D140" s="97"/>
      <c r="E140" s="97"/>
      <c r="F140" s="97"/>
      <c r="G140" s="97"/>
      <c r="H140" s="97"/>
      <c r="I140" s="97"/>
      <c r="J140" s="97"/>
      <c r="K140" s="101"/>
      <c r="L140" s="16"/>
    </row>
    <row r="141" spans="3:12">
      <c r="C141" s="96"/>
      <c r="D141" s="97"/>
      <c r="E141" s="97"/>
      <c r="F141" s="97"/>
      <c r="G141" s="97"/>
      <c r="H141" s="97"/>
      <c r="I141" s="97"/>
      <c r="J141" s="97"/>
      <c r="K141" s="101"/>
      <c r="L141" s="16"/>
    </row>
    <row r="142" spans="3:12">
      <c r="C142" s="96"/>
      <c r="D142" s="97"/>
      <c r="E142" s="97"/>
      <c r="F142" s="97"/>
      <c r="G142" s="97"/>
      <c r="H142" s="97"/>
      <c r="I142" s="97"/>
      <c r="J142" s="97"/>
      <c r="K142" s="101"/>
      <c r="L142" s="16"/>
    </row>
    <row r="143" spans="3:12">
      <c r="C143" s="96"/>
      <c r="D143" s="97"/>
      <c r="E143" s="97"/>
      <c r="F143" s="97"/>
      <c r="G143" s="97"/>
      <c r="H143" s="97"/>
      <c r="I143" s="97"/>
      <c r="J143" s="97"/>
      <c r="K143" s="101"/>
      <c r="L143" s="16"/>
    </row>
    <row r="144" spans="3:12">
      <c r="C144" s="96"/>
      <c r="D144" s="97"/>
      <c r="E144" s="97"/>
      <c r="F144" s="97"/>
      <c r="G144" s="97"/>
      <c r="H144" s="97"/>
      <c r="I144" s="97"/>
      <c r="J144" s="97"/>
      <c r="K144" s="101"/>
      <c r="L144" s="16"/>
    </row>
    <row r="145" spans="3:12">
      <c r="C145" s="96"/>
      <c r="D145" s="97"/>
      <c r="E145" s="97"/>
      <c r="F145" s="97"/>
      <c r="G145" s="97"/>
      <c r="H145" s="97"/>
      <c r="I145" s="97"/>
      <c r="J145" s="97"/>
      <c r="K145" s="101"/>
      <c r="L145" s="16"/>
    </row>
    <row r="146" spans="3:12">
      <c r="C146" s="96"/>
      <c r="D146" s="97"/>
      <c r="E146" s="97"/>
      <c r="F146" s="97"/>
      <c r="G146" s="97"/>
      <c r="H146" s="97"/>
      <c r="I146" s="97"/>
      <c r="J146" s="97"/>
      <c r="K146" s="101"/>
      <c r="L146" s="16"/>
    </row>
    <row r="147" spans="3:12">
      <c r="C147" s="96"/>
      <c r="D147" s="97"/>
      <c r="E147" s="97"/>
      <c r="F147" s="97"/>
      <c r="G147" s="97"/>
      <c r="H147" s="97"/>
      <c r="I147" s="97"/>
      <c r="J147" s="97"/>
      <c r="K147" s="101"/>
      <c r="L147" s="16"/>
    </row>
    <row r="148" spans="3:12">
      <c r="C148" s="96"/>
      <c r="D148" s="97"/>
      <c r="E148" s="97"/>
      <c r="F148" s="97"/>
      <c r="G148" s="97"/>
      <c r="H148" s="97"/>
      <c r="I148" s="97"/>
      <c r="J148" s="97"/>
      <c r="K148" s="101"/>
      <c r="L148" s="16"/>
    </row>
    <row r="149" spans="3:12">
      <c r="C149" s="96"/>
      <c r="D149" s="97"/>
      <c r="E149" s="97"/>
      <c r="F149" s="97"/>
      <c r="G149" s="97"/>
      <c r="H149" s="97"/>
      <c r="I149" s="97"/>
      <c r="J149" s="97"/>
      <c r="K149" s="101"/>
      <c r="L149" s="16"/>
    </row>
    <row r="150" spans="3:12">
      <c r="C150" s="96"/>
      <c r="D150" s="97"/>
      <c r="E150" s="97"/>
      <c r="F150" s="97"/>
      <c r="G150" s="97"/>
      <c r="H150" s="97"/>
      <c r="I150" s="97"/>
      <c r="J150" s="97"/>
      <c r="K150" s="101"/>
      <c r="L150" s="16"/>
    </row>
    <row r="151" spans="3:12">
      <c r="C151" s="96"/>
      <c r="D151" s="97"/>
      <c r="E151" s="97"/>
      <c r="F151" s="97"/>
      <c r="G151" s="97"/>
      <c r="H151" s="97"/>
      <c r="I151" s="97"/>
      <c r="J151" s="97"/>
      <c r="K151" s="101"/>
      <c r="L151" s="16"/>
    </row>
    <row r="152" spans="3:12">
      <c r="C152" s="96"/>
      <c r="D152" s="97"/>
      <c r="E152" s="97"/>
      <c r="F152" s="97"/>
      <c r="G152" s="97"/>
      <c r="H152" s="97"/>
      <c r="I152" s="97"/>
      <c r="J152" s="97"/>
      <c r="K152" s="101"/>
      <c r="L152" s="16"/>
    </row>
    <row r="153" spans="3:12">
      <c r="C153" s="96"/>
      <c r="D153" s="97"/>
      <c r="E153" s="97"/>
      <c r="F153" s="97"/>
      <c r="G153" s="97"/>
      <c r="H153" s="97"/>
      <c r="I153" s="97"/>
      <c r="J153" s="97"/>
      <c r="K153" s="101"/>
      <c r="L153" s="16"/>
    </row>
    <row r="154" spans="3:12">
      <c r="C154" s="96"/>
      <c r="D154" s="97"/>
      <c r="E154" s="97"/>
      <c r="F154" s="97"/>
      <c r="G154" s="97"/>
      <c r="H154" s="97"/>
      <c r="I154" s="97"/>
      <c r="J154" s="97"/>
      <c r="K154" s="101"/>
      <c r="L154" s="16"/>
    </row>
    <row r="155" spans="3:12">
      <c r="C155" s="96"/>
      <c r="D155" s="97"/>
      <c r="E155" s="97"/>
      <c r="F155" s="97"/>
      <c r="G155" s="97"/>
      <c r="H155" s="97"/>
      <c r="I155" s="97"/>
      <c r="J155" s="97"/>
      <c r="K155" s="101"/>
      <c r="L155" s="16"/>
    </row>
    <row r="156" spans="3:12">
      <c r="C156" s="96"/>
      <c r="D156" s="97"/>
      <c r="E156" s="97"/>
      <c r="F156" s="97"/>
      <c r="G156" s="97"/>
      <c r="H156" s="97"/>
      <c r="I156" s="97"/>
      <c r="J156" s="97"/>
      <c r="K156" s="101"/>
      <c r="L156" s="16"/>
    </row>
    <row r="157" spans="3:12">
      <c r="C157" s="96"/>
      <c r="D157" s="97"/>
      <c r="E157" s="97"/>
      <c r="F157" s="97"/>
      <c r="G157" s="97"/>
      <c r="H157" s="97"/>
      <c r="I157" s="97"/>
      <c r="J157" s="97"/>
      <c r="K157" s="101"/>
      <c r="L157" s="16"/>
    </row>
    <row r="158" spans="3:12">
      <c r="C158" s="319" t="s">
        <v>210</v>
      </c>
      <c r="D158" s="320"/>
      <c r="E158" s="320"/>
      <c r="F158" s="320"/>
      <c r="G158" s="320"/>
      <c r="H158" s="320"/>
      <c r="I158" s="320"/>
      <c r="J158" s="320"/>
      <c r="K158" s="101"/>
      <c r="L158" s="16"/>
    </row>
    <row r="159" spans="3:12">
      <c r="C159" s="319"/>
      <c r="D159" s="320"/>
      <c r="E159" s="320"/>
      <c r="F159" s="320"/>
      <c r="G159" s="320"/>
      <c r="H159" s="320"/>
      <c r="I159" s="320"/>
      <c r="J159" s="320"/>
      <c r="K159" s="102"/>
      <c r="L159" s="98"/>
    </row>
    <row r="160" spans="3:12">
      <c r="C160" s="103"/>
      <c r="D160" s="16"/>
      <c r="E160" s="16"/>
      <c r="F160" s="16"/>
      <c r="G160" s="16"/>
      <c r="H160" s="16"/>
      <c r="I160" s="16"/>
      <c r="J160" s="16"/>
      <c r="K160" s="102"/>
      <c r="L160" s="98"/>
    </row>
    <row r="161" spans="3:12">
      <c r="C161" s="96"/>
      <c r="D161" s="97"/>
      <c r="E161" s="97"/>
      <c r="F161" s="97"/>
      <c r="G161" s="97"/>
      <c r="H161" s="97"/>
      <c r="I161" s="97"/>
      <c r="J161" s="97"/>
      <c r="K161" s="101"/>
      <c r="L161" s="16"/>
    </row>
    <row r="162" spans="3:12">
      <c r="C162" s="96"/>
      <c r="D162" s="97"/>
      <c r="E162" s="97"/>
      <c r="F162" s="97"/>
      <c r="G162" s="97"/>
      <c r="H162" s="97"/>
      <c r="I162" s="97"/>
      <c r="J162" s="97"/>
      <c r="K162" s="101"/>
      <c r="L162" s="16"/>
    </row>
    <row r="163" spans="3:12">
      <c r="C163" s="96"/>
      <c r="D163" s="97"/>
      <c r="E163" s="97"/>
      <c r="F163" s="97"/>
      <c r="G163" s="97"/>
      <c r="H163" s="97"/>
      <c r="I163" s="97"/>
      <c r="J163" s="97"/>
      <c r="K163" s="101"/>
      <c r="L163" s="16"/>
    </row>
    <row r="164" spans="3:12">
      <c r="C164" s="103"/>
      <c r="D164" s="16"/>
      <c r="E164" s="16"/>
      <c r="F164" s="16"/>
      <c r="G164" s="16"/>
      <c r="H164" s="16"/>
      <c r="I164" s="16"/>
      <c r="J164" s="16"/>
      <c r="K164" s="101"/>
      <c r="L164" s="16"/>
    </row>
    <row r="165" spans="3:12">
      <c r="C165" s="103"/>
      <c r="D165" s="16"/>
      <c r="E165" s="16"/>
      <c r="F165" s="16"/>
      <c r="G165" s="16"/>
      <c r="H165" s="16"/>
      <c r="I165" s="16"/>
      <c r="J165" s="16"/>
      <c r="K165" s="101"/>
      <c r="L165" s="16"/>
    </row>
    <row r="166" spans="3:12">
      <c r="C166" s="103"/>
      <c r="D166" s="16"/>
      <c r="E166" s="16"/>
      <c r="F166" s="16"/>
      <c r="G166" s="16"/>
      <c r="H166" s="16"/>
      <c r="I166" s="16"/>
      <c r="J166" s="16"/>
      <c r="K166" s="101"/>
      <c r="L166" s="16"/>
    </row>
    <row r="167" spans="3:12">
      <c r="C167" s="103"/>
      <c r="D167" s="16"/>
      <c r="E167" s="16"/>
      <c r="F167" s="16"/>
      <c r="G167" s="16"/>
      <c r="H167" s="16"/>
      <c r="I167" s="16"/>
      <c r="J167" s="16"/>
      <c r="K167" s="101"/>
      <c r="L167" s="16"/>
    </row>
    <row r="168" spans="3:12">
      <c r="C168" s="103"/>
      <c r="D168" s="16"/>
      <c r="E168" s="16"/>
      <c r="F168" s="16"/>
      <c r="G168" s="16"/>
      <c r="H168" s="16"/>
      <c r="I168" s="16"/>
      <c r="J168" s="16"/>
      <c r="K168" s="101"/>
      <c r="L168" s="16"/>
    </row>
    <row r="169" spans="3:12">
      <c r="C169" s="103"/>
      <c r="D169" s="16"/>
      <c r="E169" s="16"/>
      <c r="F169" s="16"/>
      <c r="G169" s="16"/>
      <c r="H169" s="16"/>
      <c r="I169" s="16"/>
      <c r="J169" s="16"/>
      <c r="K169" s="101"/>
      <c r="L169" s="16"/>
    </row>
    <row r="170" spans="3:12">
      <c r="C170" s="103"/>
      <c r="D170" s="16"/>
      <c r="E170" s="16"/>
      <c r="F170" s="16"/>
      <c r="G170" s="16"/>
      <c r="H170" s="16"/>
      <c r="I170" s="16"/>
      <c r="J170" s="16"/>
      <c r="K170" s="101"/>
      <c r="L170" s="16"/>
    </row>
    <row r="171" spans="3:12">
      <c r="C171" s="103"/>
      <c r="D171" s="16"/>
      <c r="E171" s="16"/>
      <c r="F171" s="16"/>
      <c r="G171" s="16"/>
      <c r="H171" s="16"/>
      <c r="I171" s="16"/>
      <c r="J171" s="16"/>
      <c r="K171" s="101"/>
      <c r="L171" s="16"/>
    </row>
    <row r="172" spans="3:12">
      <c r="C172" s="103"/>
      <c r="D172" s="16"/>
      <c r="E172" s="16"/>
      <c r="F172" s="16"/>
      <c r="G172" s="16"/>
      <c r="H172" s="16"/>
      <c r="I172" s="16"/>
      <c r="J172" s="16"/>
      <c r="K172" s="101"/>
      <c r="L172" s="16"/>
    </row>
    <row r="173" spans="3:12">
      <c r="C173" s="103"/>
      <c r="D173" s="16"/>
      <c r="E173" s="16"/>
      <c r="F173" s="16"/>
      <c r="G173" s="16"/>
      <c r="H173" s="16"/>
      <c r="I173" s="16"/>
      <c r="J173" s="16"/>
      <c r="K173" s="101"/>
      <c r="L173" s="16"/>
    </row>
    <row r="174" spans="3:12">
      <c r="C174" s="103"/>
      <c r="D174" s="16"/>
      <c r="E174" s="16"/>
      <c r="F174" s="16"/>
      <c r="G174" s="16"/>
      <c r="H174" s="16"/>
      <c r="I174" s="16"/>
      <c r="J174" s="16"/>
      <c r="K174" s="101"/>
      <c r="L174" s="16"/>
    </row>
    <row r="175" spans="3:12">
      <c r="C175" s="103"/>
      <c r="D175" s="16"/>
      <c r="E175" s="16"/>
      <c r="F175" s="16"/>
      <c r="G175" s="16"/>
      <c r="H175" s="16"/>
      <c r="I175" s="16"/>
      <c r="J175" s="16"/>
      <c r="K175" s="101"/>
      <c r="L175" s="16"/>
    </row>
    <row r="176" spans="3:12">
      <c r="C176" s="103"/>
      <c r="D176" s="16"/>
      <c r="E176" s="16"/>
      <c r="F176" s="16"/>
      <c r="G176" s="16"/>
      <c r="H176" s="16"/>
      <c r="I176" s="16"/>
      <c r="J176" s="16"/>
      <c r="K176" s="101"/>
      <c r="L176" s="16"/>
    </row>
    <row r="177" spans="3:12">
      <c r="C177" s="103"/>
      <c r="D177" s="16"/>
      <c r="E177" s="16"/>
      <c r="F177" s="16"/>
      <c r="G177" s="16"/>
      <c r="H177" s="16"/>
      <c r="I177" s="16"/>
      <c r="J177" s="16"/>
      <c r="K177" s="101"/>
      <c r="L177" s="16"/>
    </row>
    <row r="178" spans="3:12">
      <c r="C178" s="103"/>
      <c r="D178" s="16"/>
      <c r="E178" s="16"/>
      <c r="F178" s="16"/>
      <c r="G178" s="16"/>
      <c r="H178" s="16"/>
      <c r="I178" s="16"/>
      <c r="J178" s="16"/>
      <c r="K178" s="101"/>
      <c r="L178" s="16"/>
    </row>
    <row r="179" spans="3:12">
      <c r="C179" s="103"/>
      <c r="D179" s="16"/>
      <c r="E179" s="16"/>
      <c r="F179" s="16"/>
      <c r="G179" s="16"/>
      <c r="H179" s="16"/>
      <c r="I179" s="16"/>
      <c r="J179" s="16"/>
      <c r="K179" s="101"/>
      <c r="L179" s="16"/>
    </row>
    <row r="180" spans="3:12">
      <c r="C180" s="103"/>
      <c r="D180" s="16"/>
      <c r="E180" s="16"/>
      <c r="F180" s="16"/>
      <c r="G180" s="16"/>
      <c r="H180" s="16"/>
      <c r="I180" s="16"/>
      <c r="J180" s="16"/>
      <c r="K180" s="101"/>
      <c r="L180" s="16"/>
    </row>
    <row r="181" spans="3:12">
      <c r="C181" s="103"/>
      <c r="D181" s="16"/>
      <c r="E181" s="16"/>
      <c r="F181" s="16"/>
      <c r="G181" s="16"/>
      <c r="H181" s="16"/>
      <c r="I181" s="16"/>
      <c r="J181" s="16"/>
      <c r="K181" s="101"/>
      <c r="L181" s="16"/>
    </row>
    <row r="182" spans="3:12">
      <c r="C182" s="103"/>
      <c r="D182" s="16"/>
      <c r="E182" s="16"/>
      <c r="F182" s="16"/>
      <c r="G182" s="16"/>
      <c r="H182" s="16"/>
      <c r="I182" s="16"/>
      <c r="J182" s="16"/>
      <c r="K182" s="101"/>
      <c r="L182" s="16"/>
    </row>
    <row r="183" spans="3:12">
      <c r="C183" s="103"/>
      <c r="D183" s="16"/>
      <c r="E183" s="16"/>
      <c r="F183" s="16"/>
      <c r="G183" s="16"/>
      <c r="H183" s="16"/>
      <c r="I183" s="16"/>
      <c r="J183" s="16"/>
      <c r="K183" s="101"/>
      <c r="L183" s="16"/>
    </row>
    <row r="184" spans="3:12">
      <c r="C184" s="103" t="s">
        <v>229</v>
      </c>
      <c r="D184" s="16"/>
      <c r="E184" s="16"/>
      <c r="F184" s="16"/>
      <c r="G184" s="16"/>
      <c r="H184" s="16"/>
      <c r="I184" s="16"/>
      <c r="J184" s="16"/>
      <c r="K184" s="101"/>
      <c r="L184" s="16"/>
    </row>
    <row r="185" spans="3:12">
      <c r="C185" s="103"/>
      <c r="D185" s="16"/>
      <c r="E185" s="16"/>
      <c r="F185" s="16"/>
      <c r="G185" s="16"/>
      <c r="H185" s="16"/>
      <c r="I185" s="16"/>
      <c r="J185" s="16"/>
      <c r="K185" s="101"/>
      <c r="L185" s="16"/>
    </row>
    <row r="186" spans="3:12">
      <c r="C186" s="103"/>
      <c r="D186" s="16"/>
      <c r="E186" s="16"/>
      <c r="F186" s="16"/>
      <c r="G186" s="16"/>
      <c r="H186" s="16"/>
      <c r="I186" s="16"/>
      <c r="J186" s="16"/>
      <c r="K186" s="101"/>
      <c r="L186" s="16"/>
    </row>
    <row r="187" spans="3:12">
      <c r="C187" s="103"/>
      <c r="D187" s="16"/>
      <c r="E187" s="16"/>
      <c r="F187" s="16"/>
      <c r="G187" s="16"/>
      <c r="H187" s="16"/>
      <c r="I187" s="16"/>
      <c r="J187" s="16"/>
      <c r="K187" s="101"/>
      <c r="L187" s="16"/>
    </row>
    <row r="188" spans="3:12">
      <c r="C188" s="103"/>
      <c r="D188" s="16"/>
      <c r="E188" s="16"/>
      <c r="F188" s="16"/>
      <c r="G188" s="16"/>
      <c r="H188" s="16"/>
      <c r="I188" s="16"/>
      <c r="J188" s="16"/>
      <c r="K188" s="101"/>
      <c r="L188" s="16"/>
    </row>
    <row r="189" spans="3:12">
      <c r="C189" s="103"/>
      <c r="D189" s="16"/>
      <c r="E189" s="16"/>
      <c r="F189" s="16"/>
      <c r="G189" s="16"/>
      <c r="H189" s="16"/>
      <c r="I189" s="16"/>
      <c r="J189" s="16"/>
      <c r="K189" s="101"/>
      <c r="L189" s="16"/>
    </row>
    <row r="190" spans="3:12">
      <c r="C190" s="103"/>
      <c r="D190" s="16"/>
      <c r="E190" s="16"/>
      <c r="F190" s="16"/>
      <c r="G190" s="16"/>
      <c r="H190" s="16"/>
      <c r="I190" s="16"/>
      <c r="J190" s="16"/>
      <c r="K190" s="101"/>
      <c r="L190" s="16"/>
    </row>
    <row r="191" spans="3:12">
      <c r="C191" s="104"/>
      <c r="D191" s="105"/>
      <c r="E191" s="105"/>
      <c r="F191" s="105"/>
      <c r="G191" s="105"/>
      <c r="H191" s="105"/>
      <c r="I191" s="105"/>
      <c r="J191" s="105"/>
      <c r="K191" s="106"/>
      <c r="L191" s="16"/>
    </row>
    <row r="192" spans="3:12">
      <c r="C192" s="16"/>
      <c r="D192" s="16"/>
      <c r="E192" s="16"/>
      <c r="F192" s="16"/>
      <c r="G192" s="16"/>
      <c r="H192" s="16"/>
      <c r="I192" s="16"/>
      <c r="J192" s="16"/>
      <c r="K192" s="16"/>
      <c r="L192" s="16"/>
    </row>
    <row r="193" spans="3:12">
      <c r="C193" s="16"/>
      <c r="D193" s="16"/>
      <c r="E193" s="16"/>
      <c r="F193" s="16"/>
      <c r="G193" s="16"/>
      <c r="H193" s="16"/>
      <c r="I193" s="16"/>
      <c r="J193" s="16"/>
      <c r="K193" s="16"/>
      <c r="L193" s="16"/>
    </row>
    <row r="194" spans="3:12">
      <c r="C194" s="16"/>
      <c r="D194" s="16"/>
      <c r="E194" s="16"/>
      <c r="F194" s="16"/>
      <c r="G194" s="16"/>
      <c r="H194" s="16"/>
      <c r="I194" s="16"/>
      <c r="J194" s="16"/>
      <c r="K194" s="16"/>
      <c r="L194" s="16"/>
    </row>
    <row r="195" spans="3:12">
      <c r="C195" s="16"/>
      <c r="D195" s="16"/>
      <c r="E195" s="16"/>
      <c r="F195" s="16"/>
      <c r="G195" s="16"/>
      <c r="H195" s="16"/>
      <c r="I195" s="16"/>
      <c r="J195" s="16"/>
      <c r="K195" s="16"/>
      <c r="L195" s="16"/>
    </row>
  </sheetData>
  <sheetProtection password="86F2" sheet="1" objects="1" scenarios="1"/>
  <mergeCells count="4">
    <mergeCell ref="C4:F4"/>
    <mergeCell ref="C6:J23"/>
    <mergeCell ref="C26:J26"/>
    <mergeCell ref="C158:J159"/>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Hoja24"/>
  <dimension ref="A2:G22"/>
  <sheetViews>
    <sheetView workbookViewId="0">
      <selection activeCell="A10" sqref="A10"/>
    </sheetView>
  </sheetViews>
  <sheetFormatPr baseColWidth="10" defaultRowHeight="15"/>
  <cols>
    <col min="1" max="1" width="19.7109375" style="1" customWidth="1"/>
    <col min="2" max="4" width="11.42578125" style="1"/>
    <col min="5" max="5" width="12.7109375" style="1" customWidth="1"/>
    <col min="6" max="6" width="14.42578125" style="1" customWidth="1"/>
    <col min="7" max="7" width="34" style="1" customWidth="1"/>
    <col min="8" max="16384" width="11.42578125" style="1"/>
  </cols>
  <sheetData>
    <row r="2" spans="1:7">
      <c r="A2" s="74" t="s">
        <v>186</v>
      </c>
    </row>
    <row r="4" spans="1:7">
      <c r="C4" s="321" t="s">
        <v>136</v>
      </c>
      <c r="D4" s="322"/>
      <c r="E4" s="322"/>
      <c r="F4" s="322"/>
      <c r="G4" s="323"/>
    </row>
    <row r="6" spans="1:7" ht="15" customHeight="1">
      <c r="C6" s="285" t="s">
        <v>201</v>
      </c>
      <c r="D6" s="313"/>
      <c r="E6" s="313"/>
      <c r="F6" s="313"/>
      <c r="G6" s="304"/>
    </row>
    <row r="7" spans="1:7">
      <c r="C7" s="305"/>
      <c r="D7" s="314"/>
      <c r="E7" s="314"/>
      <c r="F7" s="314"/>
      <c r="G7" s="306"/>
    </row>
    <row r="8" spans="1:7" ht="24.75" customHeight="1">
      <c r="C8" s="305"/>
      <c r="D8" s="314"/>
      <c r="E8" s="314"/>
      <c r="F8" s="314"/>
      <c r="G8" s="306"/>
    </row>
    <row r="9" spans="1:7" ht="22.5" customHeight="1">
      <c r="C9" s="305" t="s">
        <v>196</v>
      </c>
      <c r="D9" s="314"/>
      <c r="E9" s="314"/>
      <c r="F9" s="314"/>
      <c r="G9" s="306"/>
    </row>
    <row r="10" spans="1:7">
      <c r="C10" s="305"/>
      <c r="D10" s="314"/>
      <c r="E10" s="314"/>
      <c r="F10" s="314"/>
      <c r="G10" s="306"/>
    </row>
    <row r="11" spans="1:7">
      <c r="C11" s="307"/>
      <c r="D11" s="315"/>
      <c r="E11" s="315"/>
      <c r="F11" s="315"/>
      <c r="G11" s="308"/>
    </row>
    <row r="13" spans="1:7">
      <c r="B13" s="68" t="s">
        <v>195</v>
      </c>
    </row>
    <row r="14" spans="1:7" ht="15" customHeight="1">
      <c r="C14" s="285" t="s">
        <v>200</v>
      </c>
      <c r="D14" s="286"/>
      <c r="E14" s="286"/>
      <c r="F14" s="286"/>
      <c r="G14" s="287"/>
    </row>
    <row r="15" spans="1:7">
      <c r="C15" s="288"/>
      <c r="D15" s="289"/>
      <c r="E15" s="289"/>
      <c r="F15" s="289"/>
      <c r="G15" s="290"/>
    </row>
    <row r="16" spans="1:7">
      <c r="C16" s="288"/>
      <c r="D16" s="289"/>
      <c r="E16" s="289"/>
      <c r="F16" s="289"/>
      <c r="G16" s="290"/>
    </row>
    <row r="17" spans="3:7">
      <c r="C17" s="288"/>
      <c r="D17" s="289"/>
      <c r="E17" s="289"/>
      <c r="F17" s="289"/>
      <c r="G17" s="290"/>
    </row>
    <row r="18" spans="3:7">
      <c r="C18" s="288"/>
      <c r="D18" s="289"/>
      <c r="E18" s="289"/>
      <c r="F18" s="289"/>
      <c r="G18" s="290"/>
    </row>
    <row r="19" spans="3:7">
      <c r="C19" s="288"/>
      <c r="D19" s="289"/>
      <c r="E19" s="289"/>
      <c r="F19" s="289"/>
      <c r="G19" s="290"/>
    </row>
    <row r="20" spans="3:7">
      <c r="C20" s="288"/>
      <c r="D20" s="289"/>
      <c r="E20" s="289"/>
      <c r="F20" s="289"/>
      <c r="G20" s="290"/>
    </row>
    <row r="21" spans="3:7">
      <c r="C21" s="288"/>
      <c r="D21" s="289"/>
      <c r="E21" s="289"/>
      <c r="F21" s="289"/>
      <c r="G21" s="290"/>
    </row>
    <row r="22" spans="3:7">
      <c r="C22" s="291"/>
      <c r="D22" s="292"/>
      <c r="E22" s="292"/>
      <c r="F22" s="292"/>
      <c r="G22" s="293"/>
    </row>
  </sheetData>
  <sheetProtection password="86F2" sheet="1" objects="1" scenarios="1"/>
  <mergeCells count="4">
    <mergeCell ref="C4:G4"/>
    <mergeCell ref="C6:G8"/>
    <mergeCell ref="C9:G11"/>
    <mergeCell ref="C14:G2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Hoja13"/>
  <dimension ref="A1:I191"/>
  <sheetViews>
    <sheetView topLeftCell="A2" workbookViewId="0">
      <selection activeCell="E19" sqref="E19"/>
    </sheetView>
  </sheetViews>
  <sheetFormatPr baseColWidth="10" defaultRowHeight="15"/>
  <cols>
    <col min="1" max="1" width="12.7109375" style="155" bestFit="1" customWidth="1"/>
    <col min="2" max="2" width="8.140625" bestFit="1" customWidth="1"/>
    <col min="3" max="3" width="18.42578125" style="156" bestFit="1" customWidth="1"/>
    <col min="4" max="4" width="19" bestFit="1" customWidth="1"/>
    <col min="5" max="5" width="65" bestFit="1" customWidth="1"/>
    <col min="9" max="9" width="11.85546875" bestFit="1" customWidth="1"/>
  </cols>
  <sheetData>
    <row r="1" spans="1:9" s="149" customFormat="1">
      <c r="A1" s="148" t="s">
        <v>245</v>
      </c>
      <c r="B1" s="149" t="s">
        <v>246</v>
      </c>
      <c r="C1" s="150" t="s">
        <v>247</v>
      </c>
      <c r="D1" s="149" t="s">
        <v>248</v>
      </c>
      <c r="E1" s="149" t="s">
        <v>249</v>
      </c>
      <c r="F1" s="149" t="s">
        <v>250</v>
      </c>
      <c r="G1" s="149" t="s">
        <v>251</v>
      </c>
      <c r="H1" s="149" t="s">
        <v>252</v>
      </c>
      <c r="I1" s="149" t="s">
        <v>253</v>
      </c>
    </row>
    <row r="2" spans="1:9">
      <c r="A2" s="151" t="s">
        <v>5</v>
      </c>
      <c r="B2" s="1" t="s">
        <v>0</v>
      </c>
      <c r="C2" s="1" t="s">
        <v>41</v>
      </c>
      <c r="D2" s="1" t="s">
        <v>53</v>
      </c>
      <c r="E2" s="1" t="s">
        <v>56</v>
      </c>
      <c r="F2" s="1" t="s">
        <v>75</v>
      </c>
      <c r="G2" s="1" t="s">
        <v>82</v>
      </c>
      <c r="H2" s="1" t="s">
        <v>87</v>
      </c>
      <c r="I2" s="152">
        <f ca="1">TODAY()</f>
        <v>43388</v>
      </c>
    </row>
    <row r="3" spans="1:9">
      <c r="A3" s="153" t="s">
        <v>6</v>
      </c>
      <c r="B3" s="1" t="s">
        <v>1</v>
      </c>
      <c r="C3" s="1" t="s">
        <v>42</v>
      </c>
      <c r="D3" s="1" t="s">
        <v>54</v>
      </c>
      <c r="E3" s="1" t="s">
        <v>57</v>
      </c>
      <c r="F3" s="1" t="s">
        <v>76</v>
      </c>
      <c r="G3" s="1" t="s">
        <v>83</v>
      </c>
      <c r="H3" s="1" t="s">
        <v>88</v>
      </c>
    </row>
    <row r="4" spans="1:9">
      <c r="A4" s="151" t="s">
        <v>7</v>
      </c>
      <c r="C4" s="1" t="s">
        <v>45</v>
      </c>
      <c r="E4" s="1" t="s">
        <v>59</v>
      </c>
      <c r="F4" s="1" t="s">
        <v>77</v>
      </c>
      <c r="G4" s="1" t="s">
        <v>84</v>
      </c>
      <c r="H4" s="1" t="s">
        <v>90</v>
      </c>
    </row>
    <row r="5" spans="1:9">
      <c r="A5" s="151" t="s">
        <v>8</v>
      </c>
      <c r="C5" s="154"/>
      <c r="E5" s="1" t="s">
        <v>60</v>
      </c>
      <c r="G5" s="1" t="s">
        <v>85</v>
      </c>
      <c r="H5" s="1" t="s">
        <v>91</v>
      </c>
    </row>
    <row r="6" spans="1:9" ht="25.5">
      <c r="A6" s="151" t="s">
        <v>9</v>
      </c>
      <c r="C6" s="154"/>
      <c r="E6" s="1" t="s">
        <v>62</v>
      </c>
    </row>
    <row r="7" spans="1:9">
      <c r="A7" s="151" t="s">
        <v>10</v>
      </c>
      <c r="C7" s="154"/>
      <c r="E7" s="1" t="s">
        <v>64</v>
      </c>
    </row>
    <row r="8" spans="1:9">
      <c r="A8" s="151" t="s">
        <v>12</v>
      </c>
      <c r="C8" s="154"/>
      <c r="E8" s="1" t="s">
        <v>66</v>
      </c>
    </row>
    <row r="9" spans="1:9" ht="25.5">
      <c r="A9" s="151" t="s">
        <v>13</v>
      </c>
      <c r="C9" s="154"/>
      <c r="E9" s="1" t="s">
        <v>67</v>
      </c>
    </row>
    <row r="10" spans="1:9">
      <c r="A10" s="151" t="s">
        <v>15</v>
      </c>
      <c r="C10" s="154"/>
      <c r="E10" s="1" t="s">
        <v>68</v>
      </c>
    </row>
    <row r="11" spans="1:9">
      <c r="A11" s="153" t="s">
        <v>16</v>
      </c>
      <c r="C11" s="154"/>
      <c r="E11" s="1" t="s">
        <v>69</v>
      </c>
    </row>
    <row r="12" spans="1:9">
      <c r="A12" s="151" t="s">
        <v>18</v>
      </c>
      <c r="C12" s="154"/>
      <c r="E12" s="1" t="s">
        <v>70</v>
      </c>
    </row>
    <row r="13" spans="1:9">
      <c r="A13" s="151" t="s">
        <v>19</v>
      </c>
      <c r="C13" s="154"/>
      <c r="E13" s="1" t="s">
        <v>71</v>
      </c>
    </row>
    <row r="14" spans="1:9">
      <c r="A14" s="153" t="s">
        <v>21</v>
      </c>
      <c r="C14" s="154"/>
      <c r="E14" s="1" t="s">
        <v>72</v>
      </c>
    </row>
    <row r="15" spans="1:9">
      <c r="A15" s="151" t="s">
        <v>22</v>
      </c>
      <c r="C15" s="154"/>
      <c r="E15" s="1" t="s">
        <v>73</v>
      </c>
    </row>
    <row r="16" spans="1:9" ht="25.5">
      <c r="A16" s="151" t="s">
        <v>24</v>
      </c>
      <c r="C16" s="154"/>
    </row>
    <row r="17" spans="1:3">
      <c r="A17" s="151" t="s">
        <v>25</v>
      </c>
      <c r="C17" s="154"/>
    </row>
    <row r="18" spans="1:3">
      <c r="A18" s="151" t="s">
        <v>27</v>
      </c>
      <c r="C18" s="154"/>
    </row>
    <row r="19" spans="1:3">
      <c r="A19" s="151" t="s">
        <v>28</v>
      </c>
      <c r="C19" s="154"/>
    </row>
    <row r="20" spans="1:3">
      <c r="A20" s="151" t="s">
        <v>30</v>
      </c>
      <c r="C20" s="154"/>
    </row>
    <row r="21" spans="1:3" ht="25.5">
      <c r="A21" s="153" t="s">
        <v>31</v>
      </c>
      <c r="C21" s="154"/>
    </row>
    <row r="22" spans="1:3" ht="25.5">
      <c r="A22" s="151" t="s">
        <v>32</v>
      </c>
      <c r="C22" s="154"/>
    </row>
    <row r="23" spans="1:3">
      <c r="A23" s="151" t="s">
        <v>35</v>
      </c>
      <c r="C23" s="154"/>
    </row>
    <row r="24" spans="1:3" ht="25.5">
      <c r="A24" s="151" t="s">
        <v>36</v>
      </c>
      <c r="C24" s="154"/>
    </row>
    <row r="25" spans="1:3" ht="25.5">
      <c r="A25" s="151" t="s">
        <v>38</v>
      </c>
      <c r="C25" s="154"/>
    </row>
    <row r="26" spans="1:3">
      <c r="C26" s="154"/>
    </row>
    <row r="27" spans="1:3">
      <c r="C27" s="154"/>
    </row>
    <row r="28" spans="1:3">
      <c r="C28" s="154"/>
    </row>
    <row r="29" spans="1:3">
      <c r="C29" s="154"/>
    </row>
    <row r="30" spans="1:3">
      <c r="C30" s="154"/>
    </row>
    <row r="31" spans="1:3">
      <c r="C31" s="154"/>
    </row>
    <row r="32" spans="1:3">
      <c r="C32" s="154"/>
    </row>
    <row r="33" spans="3:3">
      <c r="C33" s="154"/>
    </row>
    <row r="34" spans="3:3">
      <c r="C34" s="154"/>
    </row>
    <row r="35" spans="3:3">
      <c r="C35" s="154"/>
    </row>
    <row r="36" spans="3:3">
      <c r="C36" s="154"/>
    </row>
    <row r="37" spans="3:3">
      <c r="C37" s="154"/>
    </row>
    <row r="38" spans="3:3">
      <c r="C38" s="154"/>
    </row>
    <row r="39" spans="3:3">
      <c r="C39" s="154"/>
    </row>
    <row r="40" spans="3:3">
      <c r="C40" s="154"/>
    </row>
    <row r="41" spans="3:3">
      <c r="C41" s="154"/>
    </row>
    <row r="42" spans="3:3">
      <c r="C42" s="154"/>
    </row>
    <row r="43" spans="3:3">
      <c r="C43" s="154"/>
    </row>
    <row r="44" spans="3:3">
      <c r="C44" s="154"/>
    </row>
    <row r="45" spans="3:3">
      <c r="C45" s="154"/>
    </row>
    <row r="46" spans="3:3">
      <c r="C46" s="154"/>
    </row>
    <row r="47" spans="3:3">
      <c r="C47" s="154"/>
    </row>
    <row r="48" spans="3:3">
      <c r="C48" s="154"/>
    </row>
    <row r="49" spans="3:3">
      <c r="C49" s="154"/>
    </row>
    <row r="50" spans="3:3">
      <c r="C50" s="154"/>
    </row>
    <row r="51" spans="3:3">
      <c r="C51" s="154"/>
    </row>
    <row r="52" spans="3:3">
      <c r="C52" s="154"/>
    </row>
    <row r="53" spans="3:3">
      <c r="C53" s="154"/>
    </row>
    <row r="54" spans="3:3">
      <c r="C54" s="154"/>
    </row>
    <row r="55" spans="3:3">
      <c r="C55" s="154"/>
    </row>
    <row r="56" spans="3:3">
      <c r="C56" s="154"/>
    </row>
    <row r="57" spans="3:3">
      <c r="C57" s="154"/>
    </row>
    <row r="58" spans="3:3">
      <c r="C58" s="154"/>
    </row>
    <row r="59" spans="3:3">
      <c r="C59" s="154"/>
    </row>
    <row r="60" spans="3:3">
      <c r="C60" s="154"/>
    </row>
    <row r="61" spans="3:3">
      <c r="C61" s="154"/>
    </row>
    <row r="62" spans="3:3">
      <c r="C62" s="154"/>
    </row>
    <row r="63" spans="3:3">
      <c r="C63" s="154"/>
    </row>
    <row r="64" spans="3:3">
      <c r="C64" s="154"/>
    </row>
    <row r="65" spans="3:3">
      <c r="C65" s="154"/>
    </row>
    <row r="66" spans="3:3">
      <c r="C66" s="154"/>
    </row>
    <row r="67" spans="3:3">
      <c r="C67" s="154"/>
    </row>
    <row r="68" spans="3:3">
      <c r="C68" s="154"/>
    </row>
    <row r="69" spans="3:3">
      <c r="C69" s="154"/>
    </row>
    <row r="70" spans="3:3">
      <c r="C70" s="154"/>
    </row>
    <row r="71" spans="3:3">
      <c r="C71" s="154"/>
    </row>
    <row r="72" spans="3:3">
      <c r="C72" s="154"/>
    </row>
    <row r="73" spans="3:3">
      <c r="C73" s="154"/>
    </row>
    <row r="74" spans="3:3">
      <c r="C74" s="154"/>
    </row>
    <row r="75" spans="3:3">
      <c r="C75" s="154"/>
    </row>
    <row r="76" spans="3:3">
      <c r="C76" s="154"/>
    </row>
    <row r="77" spans="3:3">
      <c r="C77" s="154"/>
    </row>
    <row r="78" spans="3:3">
      <c r="C78" s="154"/>
    </row>
    <row r="79" spans="3:3">
      <c r="C79" s="154"/>
    </row>
    <row r="80" spans="3:3">
      <c r="C80" s="154"/>
    </row>
    <row r="81" spans="3:3">
      <c r="C81" s="154"/>
    </row>
    <row r="82" spans="3:3">
      <c r="C82" s="154"/>
    </row>
    <row r="83" spans="3:3">
      <c r="C83" s="154"/>
    </row>
    <row r="84" spans="3:3">
      <c r="C84" s="154"/>
    </row>
    <row r="85" spans="3:3">
      <c r="C85" s="154"/>
    </row>
    <row r="86" spans="3:3">
      <c r="C86" s="154"/>
    </row>
    <row r="87" spans="3:3">
      <c r="C87" s="154"/>
    </row>
    <row r="88" spans="3:3">
      <c r="C88" s="154"/>
    </row>
    <row r="89" spans="3:3">
      <c r="C89" s="154"/>
    </row>
    <row r="90" spans="3:3">
      <c r="C90" s="154"/>
    </row>
    <row r="91" spans="3:3">
      <c r="C91" s="154"/>
    </row>
    <row r="92" spans="3:3">
      <c r="C92" s="154"/>
    </row>
    <row r="93" spans="3:3">
      <c r="C93" s="154"/>
    </row>
    <row r="94" spans="3:3">
      <c r="C94" s="154"/>
    </row>
    <row r="95" spans="3:3">
      <c r="C95" s="154"/>
    </row>
    <row r="96" spans="3:3">
      <c r="C96" s="154"/>
    </row>
    <row r="97" spans="3:3">
      <c r="C97" s="154"/>
    </row>
    <row r="98" spans="3:3">
      <c r="C98" s="154"/>
    </row>
    <row r="99" spans="3:3">
      <c r="C99" s="154"/>
    </row>
    <row r="100" spans="3:3">
      <c r="C100" s="154"/>
    </row>
    <row r="101" spans="3:3">
      <c r="C101" s="154"/>
    </row>
    <row r="102" spans="3:3">
      <c r="C102" s="154"/>
    </row>
    <row r="103" spans="3:3">
      <c r="C103" s="154"/>
    </row>
    <row r="104" spans="3:3">
      <c r="C104" s="154"/>
    </row>
    <row r="105" spans="3:3">
      <c r="C105" s="154"/>
    </row>
    <row r="106" spans="3:3">
      <c r="C106" s="154"/>
    </row>
    <row r="107" spans="3:3">
      <c r="C107" s="154"/>
    </row>
    <row r="108" spans="3:3">
      <c r="C108" s="154"/>
    </row>
    <row r="109" spans="3:3">
      <c r="C109" s="154"/>
    </row>
    <row r="110" spans="3:3">
      <c r="C110" s="154"/>
    </row>
    <row r="111" spans="3:3">
      <c r="C111" s="154"/>
    </row>
    <row r="112" spans="3:3">
      <c r="C112" s="154"/>
    </row>
    <row r="113" spans="3:3">
      <c r="C113" s="154"/>
    </row>
    <row r="114" spans="3:3">
      <c r="C114" s="154"/>
    </row>
    <row r="115" spans="3:3">
      <c r="C115" s="154"/>
    </row>
    <row r="116" spans="3:3">
      <c r="C116" s="154"/>
    </row>
    <row r="117" spans="3:3">
      <c r="C117" s="154"/>
    </row>
    <row r="118" spans="3:3">
      <c r="C118" s="154"/>
    </row>
    <row r="119" spans="3:3">
      <c r="C119" s="154"/>
    </row>
    <row r="120" spans="3:3">
      <c r="C120" s="154"/>
    </row>
    <row r="121" spans="3:3">
      <c r="C121" s="154"/>
    </row>
    <row r="122" spans="3:3">
      <c r="C122" s="154"/>
    </row>
    <row r="123" spans="3:3">
      <c r="C123" s="154"/>
    </row>
    <row r="124" spans="3:3">
      <c r="C124" s="154"/>
    </row>
    <row r="125" spans="3:3">
      <c r="C125" s="154"/>
    </row>
    <row r="126" spans="3:3">
      <c r="C126" s="154"/>
    </row>
    <row r="127" spans="3:3">
      <c r="C127" s="154"/>
    </row>
    <row r="128" spans="3:3">
      <c r="C128" s="154"/>
    </row>
    <row r="129" spans="3:3">
      <c r="C129" s="154"/>
    </row>
    <row r="130" spans="3:3">
      <c r="C130" s="154"/>
    </row>
    <row r="131" spans="3:3">
      <c r="C131" s="154"/>
    </row>
    <row r="132" spans="3:3">
      <c r="C132" s="154"/>
    </row>
    <row r="133" spans="3:3">
      <c r="C133" s="154"/>
    </row>
    <row r="134" spans="3:3">
      <c r="C134" s="154"/>
    </row>
    <row r="135" spans="3:3">
      <c r="C135" s="154"/>
    </row>
    <row r="136" spans="3:3">
      <c r="C136" s="154"/>
    </row>
    <row r="137" spans="3:3">
      <c r="C137" s="154"/>
    </row>
    <row r="138" spans="3:3">
      <c r="C138" s="154"/>
    </row>
    <row r="139" spans="3:3">
      <c r="C139" s="154"/>
    </row>
    <row r="140" spans="3:3">
      <c r="C140" s="154"/>
    </row>
    <row r="141" spans="3:3">
      <c r="C141" s="154"/>
    </row>
    <row r="142" spans="3:3">
      <c r="C142" s="154"/>
    </row>
    <row r="143" spans="3:3">
      <c r="C143" s="154"/>
    </row>
    <row r="144" spans="3:3">
      <c r="C144" s="154"/>
    </row>
    <row r="145" spans="3:3">
      <c r="C145" s="154"/>
    </row>
    <row r="146" spans="3:3">
      <c r="C146" s="154"/>
    </row>
    <row r="147" spans="3:3">
      <c r="C147" s="154"/>
    </row>
    <row r="148" spans="3:3">
      <c r="C148" s="154"/>
    </row>
    <row r="149" spans="3:3">
      <c r="C149" s="154"/>
    </row>
    <row r="150" spans="3:3">
      <c r="C150" s="154"/>
    </row>
    <row r="151" spans="3:3">
      <c r="C151" s="154"/>
    </row>
    <row r="152" spans="3:3">
      <c r="C152" s="154"/>
    </row>
    <row r="153" spans="3:3">
      <c r="C153" s="154"/>
    </row>
    <row r="154" spans="3:3">
      <c r="C154" s="154"/>
    </row>
    <row r="155" spans="3:3">
      <c r="C155" s="154"/>
    </row>
    <row r="156" spans="3:3">
      <c r="C156" s="154"/>
    </row>
    <row r="157" spans="3:3">
      <c r="C157" s="154"/>
    </row>
    <row r="158" spans="3:3">
      <c r="C158" s="154"/>
    </row>
    <row r="159" spans="3:3">
      <c r="C159" s="154"/>
    </row>
    <row r="160" spans="3:3">
      <c r="C160" s="154"/>
    </row>
    <row r="161" spans="3:3">
      <c r="C161" s="154"/>
    </row>
    <row r="162" spans="3:3">
      <c r="C162" s="154"/>
    </row>
    <row r="163" spans="3:3">
      <c r="C163" s="154"/>
    </row>
    <row r="164" spans="3:3">
      <c r="C164" s="154"/>
    </row>
    <row r="165" spans="3:3">
      <c r="C165" s="154"/>
    </row>
    <row r="166" spans="3:3">
      <c r="C166" s="154"/>
    </row>
    <row r="167" spans="3:3">
      <c r="C167" s="154"/>
    </row>
    <row r="168" spans="3:3">
      <c r="C168" s="154"/>
    </row>
    <row r="169" spans="3:3">
      <c r="C169" s="154"/>
    </row>
    <row r="170" spans="3:3">
      <c r="C170" s="154"/>
    </row>
    <row r="171" spans="3:3">
      <c r="C171" s="154"/>
    </row>
    <row r="172" spans="3:3">
      <c r="C172" s="154"/>
    </row>
    <row r="173" spans="3:3">
      <c r="C173" s="154"/>
    </row>
    <row r="174" spans="3:3">
      <c r="C174" s="154"/>
    </row>
    <row r="175" spans="3:3">
      <c r="C175" s="154"/>
    </row>
    <row r="176" spans="3:3">
      <c r="C176" s="154"/>
    </row>
    <row r="177" spans="3:3">
      <c r="C177" s="154"/>
    </row>
    <row r="178" spans="3:3">
      <c r="C178" s="154"/>
    </row>
    <row r="179" spans="3:3">
      <c r="C179" s="154"/>
    </row>
    <row r="180" spans="3:3">
      <c r="C180" s="154"/>
    </row>
    <row r="181" spans="3:3">
      <c r="C181" s="154"/>
    </row>
    <row r="182" spans="3:3">
      <c r="C182" s="154"/>
    </row>
    <row r="183" spans="3:3">
      <c r="C183" s="154"/>
    </row>
    <row r="184" spans="3:3">
      <c r="C184" s="154"/>
    </row>
    <row r="185" spans="3:3">
      <c r="C185" s="154"/>
    </row>
    <row r="186" spans="3:3">
      <c r="C186" s="154"/>
    </row>
    <row r="187" spans="3:3">
      <c r="C187" s="154"/>
    </row>
    <row r="188" spans="3:3">
      <c r="C188" s="154"/>
    </row>
    <row r="189" spans="3:3">
      <c r="C189" s="154"/>
    </row>
    <row r="190" spans="3:3">
      <c r="C190" s="154"/>
    </row>
    <row r="191" spans="3:3">
      <c r="C191" s="154"/>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vt:i4>
      </vt:variant>
    </vt:vector>
  </HeadingPairs>
  <TitlesOfParts>
    <vt:vector size="14" baseType="lpstr">
      <vt:lpstr>Mipyme Persona Jurídica </vt:lpstr>
      <vt:lpstr>2.1</vt:lpstr>
      <vt:lpstr>2.2</vt:lpstr>
      <vt:lpstr>2.3</vt:lpstr>
      <vt:lpstr>2.4</vt:lpstr>
      <vt:lpstr>2.5</vt:lpstr>
      <vt:lpstr>2.6</vt:lpstr>
      <vt:lpstr>2.7</vt:lpstr>
      <vt:lpstr>2.8</vt:lpstr>
      <vt:lpstr>2.9</vt:lpstr>
      <vt:lpstr>2.10</vt:lpstr>
      <vt:lpstr>2.11</vt:lpstr>
      <vt:lpstr>catalogo</vt:lpstr>
      <vt:lpstr>'Mipyme Persona Jurídica '!Área_de_impresión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gsoto</dc:creator>
  <cp:lastModifiedBy>gsoto</cp:lastModifiedBy>
  <dcterms:created xsi:type="dcterms:W3CDTF">2018-08-29T17:39:29Z</dcterms:created>
  <dcterms:modified xsi:type="dcterms:W3CDTF">2018-10-15T17:26:27Z</dcterms:modified>
</cp:coreProperties>
</file>